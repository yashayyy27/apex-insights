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8a6119cbe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1e5d985d9c9e47fd"/>
    <x:sheet xmlns:r="http://schemas.openxmlformats.org/officeDocument/2006/relationships" name="Category Performance" sheetId="2" r:id="R62b54a3784044045"/>
    <x:sheet xmlns:r="http://schemas.openxmlformats.org/officeDocument/2006/relationships" name="Customer Channel" sheetId="3" r:id="R7fc3768df51e443d"/>
    <x:sheet xmlns:r="http://schemas.openxmlformats.org/officeDocument/2006/relationships" name="Innovation" sheetId="4" r:id="Re8eb68203c8648f2"/>
    <x:sheet xmlns:r="http://schemas.openxmlformats.org/officeDocument/2006/relationships" name="Scenario Analysis" sheetId="5" r:id="R78745810e1e54d32"/>
    <x:sheet xmlns:r="http://schemas.openxmlformats.org/officeDocument/2006/relationships" name="Monthly Inputs" sheetId="6" r:id="R562535050f5b4b91"/>
    <x:sheet xmlns:r="http://schemas.openxmlformats.org/officeDocument/2006/relationships" name="SKU Inputs" sheetId="7" r:id="Re3a6146e579d478e"/>
    <x:sheet xmlns:r="http://schemas.openxmlformats.org/officeDocument/2006/relationships" name="Launch Inputs" sheetId="8" r:id="Re00c65abf76d478b"/>
    <x:sheet xmlns:r="http://schemas.openxmlformats.org/officeDocument/2006/relationships" name="Methodology" sheetId="9" r:id="Ra6618896c090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($#,##0);$0"/>
    <x:numFmt numFmtId="201" formatCode="#,##0"/>
    <x:numFmt numFmtId="202" formatCode="0.0%;-0.0%;0.0%"/>
    <x:numFmt numFmtId="203" formatCode="0.00"/>
    <x:numFmt numFmtId="204" formatCode="$0.00"/>
  </x:numFmts>
  <x:fonts count="6">
    <x:font>
      <x:sz val="11"/>
      <x:name val="Carlito"/>
    </x:font>
    <x:font>
      <x:sz val="10"/>
      <x:color rgb="FF172B3A"/>
      <x:name val="Arial"/>
    </x:font>
    <x:font>
      <x:b/>
      <x:sz val="16"/>
      <x:color rgb="FF172B3A"/>
      <x:name val="Arial"/>
    </x:font>
    <x:font>
      <x:i/>
      <x:sz val="10"/>
      <x:color rgb="FF526777"/>
      <x:name val="Arial"/>
    </x:font>
    <x:font>
      <x:b/>
      <x:sz val="10"/>
      <x:color rgb="FFFFFFFF"/>
      <x:name val="Arial"/>
    </x:font>
    <x:font>
      <x:b/>
      <x:sz val="10"/>
      <x:color rgb="FF172B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B3A"/>
      </x:patternFill>
    </x:fill>
    <x:fill>
      <x:patternFill patternType="solid">
        <x:fgColor rgb="FFFFF0C2"/>
      </x:patternFill>
    </x:fill>
  </x:fills>
  <x:borders count="2">
    <x:border/>
    <x:border>
      <x:bottom style="thin">
        <x:color rgb="FFB7C4C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AD3045"/>
      </x:font>
    </x:dxf>
    <x:dxf>
      <x:font>
        <x:b/>
        <x:color rgb="FFAD3045"/>
      </x:font>
    </x:dxf>
    <x:dxf>
      <x:font>
        <x:b/>
        <x:color rgb="FFAD3045"/>
      </x:font>
    </x:dxf>
    <x:dxf>
      <x:font>
        <x:b/>
        <x:color rgb="FFAD3045"/>
      </x:font>
    </x:dxf>
    <x:dxf>
      <x:font>
        <x:b/>
        <x:color rgb="FFAD3045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efd2624b645bd" /><Relationship Type="http://schemas.openxmlformats.org/officeDocument/2006/relationships/theme" Target="/xl/theme/theme1.xml" Id="R37a5fe09d49349ec" /><Relationship Type="http://schemas.openxmlformats.org/officeDocument/2006/relationships/sharedStrings" Target="/xl/sharedStrings.xml" Id="Reb837532526944fc" /><Relationship Type="http://schemas.openxmlformats.org/officeDocument/2006/relationships/worksheet" Target="/xl/worksheets/sheet1.xml" Id="R1e5d985d9c9e47fd" /><Relationship Type="http://schemas.openxmlformats.org/officeDocument/2006/relationships/worksheet" Target="/xl/worksheets/sheet2.xml" Id="R62b54a3784044045" /><Relationship Type="http://schemas.openxmlformats.org/officeDocument/2006/relationships/worksheet" Target="/xl/worksheets/sheet3.xml" Id="R7fc3768df51e443d" /><Relationship Type="http://schemas.openxmlformats.org/officeDocument/2006/relationships/worksheet" Target="/xl/worksheets/sheet4.xml" Id="Re8eb68203c8648f2" /><Relationship Type="http://schemas.openxmlformats.org/officeDocument/2006/relationships/worksheet" Target="/xl/worksheets/sheet5.xml" Id="R78745810e1e54d32" /><Relationship Type="http://schemas.openxmlformats.org/officeDocument/2006/relationships/worksheet" Target="/xl/worksheets/sheet6.xml" Id="R562535050f5b4b91" /><Relationship Type="http://schemas.openxmlformats.org/officeDocument/2006/relationships/worksheet" Target="/xl/worksheets/sheet7.xml" Id="Re3a6146e579d478e" /><Relationship Type="http://schemas.openxmlformats.org/officeDocument/2006/relationships/worksheet" Target="/xl/worksheets/sheet8.xml" Id="Re00c65abf76d478b" /><Relationship Type="http://schemas.openxmlformats.org/officeDocument/2006/relationships/worksheet" Target="/xl/worksheets/sheet9.xml" Id="Ra6618896c09045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c81e444c574bc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b2372cfadd9444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c180cf8462f40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Monthly revenue and plan (AUD)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AD3045"/>
            </a:solidFill>
            <a:ln xmlns:a="http://schemas.openxmlformats.org/drawingml/2006/main" w="19050">
              <a:solidFill>
                <a:srgbClr val="AD3045"/>
              </a:solidFill>
              <a:prstDash val="solid"/>
            </a:ln>
          </c:spPr>
          <c:marker>
            <c:symbol val="none"/>
          </c:marker>
          <c:cat>
            <c:strRef>
              <c:f>'Executive Summary'!$A$17:$A$28</c:f>
              <c:strCache>
                <c:ptCount val="0"/>
              </c:strCache>
            </c:strRef>
          </c:cat>
          <c:val>
            <c:numRef>
              <c:f>'Executive Summary'!$B$17:$B$28</c:f>
              <c:numCache>
                <c:formatCode>$#,##0;($#,##0);$0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spPr>
            <a:solidFill xmlns:a="http://schemas.openxmlformats.org/drawingml/2006/main">
              <a:srgbClr val="6485A0"/>
            </a:solidFill>
            <a:ln xmlns:a="http://schemas.openxmlformats.org/drawingml/2006/main" w="19050">
              <a:solidFill>
                <a:srgbClr val="6485A0"/>
              </a:solidFill>
              <a:prstDash val="dash"/>
            </a:ln>
          </c:spPr>
          <c:marker>
            <c:symbol val="none"/>
          </c:marker>
          <c:cat>
            <c:strRef>
              <c:f>'Executive Summary'!$A$17:$A$28</c:f>
              <c:strCache>
                <c:ptCount val="0"/>
              </c:strCache>
            </c:strRef>
          </c:cat>
          <c:val>
            <c:numRef>
              <c:f>'Executive Summary'!$C$17:$C$28</c:f>
              <c:numCache>
                <c:formatCode>$#,##0;($#,##0);$0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($#,##0);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Category revenue (AUD)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AD3045"/>
            </a:solidFill>
          </c:spPr>
          <c:cat>
            <c:strRef>
              <c:f>'Category Performance'!$A$8:$A$12</c:f>
              <c:strCache>
                <c:ptCount val="0"/>
              </c:strCache>
            </c:strRef>
          </c:cat>
          <c:val>
            <c:numRef>
              <c:f>'Category Performance'!$B$8:$B$12</c:f>
              <c:numCache>
                <c:formatCode>$#,##0;($#,##0);$0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($#,##0);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28-day repeat among complete cohorts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Repeat rate</c:v>
          </c:tx>
          <c:spPr>
            <a:solidFill xmlns:a="http://schemas.openxmlformats.org/drawingml/2006/main">
              <a:srgbClr val="AD3045"/>
            </a:solidFill>
          </c:spPr>
          <c:cat>
            <c:strRef>
              <c:f>'Innovation'!$A$8:$A$9</c:f>
              <c:strCache>
                <c:ptCount val="0"/>
              </c:strCache>
            </c:strRef>
          </c:cat>
          <c:val>
            <c:numRef>
              <c:f>'Innovation'!$G$8:$G$9</c:f>
              <c:numCache>
                <c:formatCode>0.0%;-0.0%;0.0%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;-0.0%;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c81e444c574bc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2372cfadd9444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180cf8462f40e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CommercialInputs" displayName="MonthlyCommercialInputs" ref="A5:I1805" headerRowCount="1" totalsRowCount="0" totalsRowShown="0">
  <x:tableColumns count="9">
    <x:tableColumn id="1" name="Year"/>
    <x:tableColumn id="2" name="YearMonth"/>
    <x:tableColumn id="3" name="Category"/>
    <x:tableColumn id="4" name="Channel"/>
    <x:tableColumn id="5" name="Region"/>
    <x:tableColumn id="6" name="Revenue"/>
    <x:tableColumn id="7" name="Units"/>
    <x:tableColumn id="8" name="GrossProfit"/>
    <x:tableColumn id="9" name="TargetRevenu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kuScenarioInputs" displayName="SkuScenarioInputs" ref="A5:H29" headerRowCount="1" totalsRowCount="0" totalsRowShown="0">
  <x:tableColumns count="8">
    <x:tableColumn id="1" name="ProductKey"/>
    <x:tableColumn id="2" name="Product"/>
    <x:tableColumn id="3" name="Revenue"/>
    <x:tableColumn id="4" name="Units"/>
    <x:tableColumn id="5" name="GrossProfit"/>
    <x:tableColumn id="6" name="ActiveStoreDays"/>
    <x:tableColumn id="7" name="EligibleStoreDays"/>
    <x:tableColumn id="8" name="Distributio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LaunchReviewInputs" displayName="LaunchReviewInputs" ref="A5:J7" headerRowCount="1" totalsRowCount="0" totalsRowShown="0">
  <x:tableColumns count="10">
    <x:tableColumn id="1" name="ProductKey"/>
    <x:tableColumn id="2" name="Product"/>
    <x:tableColumn id="3" name="Revenue"/>
    <x:tableColumn id="4" name="Units"/>
    <x:tableColumn id="5" name="GrossProfit"/>
    <x:tableColumn id="6" name="Velocity"/>
    <x:tableColumn id="7" name="Distribution"/>
    <x:tableColumn id="8" name="TargetAttainment"/>
    <x:tableColumn id="9" name="Trials"/>
    <x:tableColumn id="10" name="Repeat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9857e080ad4a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6a58c6aeca644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d808fa79907841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b3abfb1f8b2b4e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088ce787013240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eb61e9027dae4273" /></Relationships>
</file>

<file path=xl/worksheets/sheet1.xml><?xml version="1.0" encoding="utf-8"?>
<x:worksheet xmlns:x="http://schemas.openxmlformats.org/spreadsheetml/2006/main">
  <x:sheetPr>
    <x:tabColor rgb="FF172B3A"/>
  </x:sheetPr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3" t="str">
        <x:v>APEX commercial management pack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3" customHeight="1">
      <x:c r="A3" s="4" t="str">
        <x:v>ALL PERFORMANCE SYNTHETIC. Fictional beverage portfolio, AUD ex GST.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 ht="23" customHeight="1">
      <x:c r="A5" s="2" t="str">
        <x:v>Reporting year</x:v>
      </x:c>
      <x:c r="B5" s="16" t="n">
        <x:v>2024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9" customHeight="1">
      <x:c r="A7" s="9" t="str">
        <x:v>Metric</x:v>
      </x:c>
      <x:c r="B7" s="9" t="str">
        <x:v>Result</x:v>
      </x:c>
      <x:c r="C7" s="9" t="str">
        <x:v>Interpretation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3" customHeight="1">
      <x:c r="A8" s="2" t="str">
        <x:v>Net revenue</x:v>
      </x:c>
      <x:c r="B8" s="10" t="n">
        <x:f>SUMIFS('Monthly Inputs'!$F$6:$F$1805,'Monthly Inputs'!$A$6:$A$1805,$B$5)</x:f>
        <x:v>87719379.46999995</x:v>
      </x:c>
      <x:c r="C8" s="2" t="str">
        <x:v>Before trade spend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23" customHeight="1">
      <x:c r="A9" s="2" t="str">
        <x:v>Gross profit</x:v>
      </x:c>
      <x:c r="B9" s="10" t="n">
        <x:f>SUMIFS('Monthly Inputs'!$H$6:$H$1805,'Monthly Inputs'!$A$6:$A$1805,$B$5)</x:f>
        <x:v>42709530.33000002</x:v>
      </x:c>
      <x:c r="C9" s="2" t="str">
        <x:v>Before overheads/trade spend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3" customHeight="1">
      <x:c r="A10" s="2" t="str">
        <x:v>Gross margin</x:v>
      </x:c>
      <x:c r="B10" s="14" t="n">
        <x:f>B9/B8</x:f>
        <x:v>0.4868881949239813</x:v>
      </x:c>
      <x:c r="C10" s="2" t="str">
        <x:v>Ratio of total GP / revenue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23" customHeight="1">
      <x:c r="A11" s="2" t="str">
        <x:v>Target attainment</x:v>
      </x:c>
      <x:c r="B11" s="14" t="n">
        <x:f>B8/SUMIFS('Monthly Inputs'!$I$6:$I$1805,'Monthly Inputs'!$A$6:$A$1805,$B$5)</x:f>
        <x:v>0.999123547862473</x:v>
      </x:c>
      <x:c r="C11" s="2" t="str">
        <x:v>Independent plan baseline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3" customHeight="1">
      <x:c r="A12" s="2" t="str">
        <x:v>Revenue YoY</x:v>
      </x:c>
      <x:c r="B12" s="14" t="n">
        <x:f>IF($B$5=2023,"n.a.",B8/SUMIFS('Monthly Inputs'!$F$6:$F$1805,'Monthly Inputs'!$A$6:$A$1805,$B$5-1)-1)</x:f>
        <x:v>0.13730056188936546</x:v>
      </x:c>
      <x:c r="C12" s="2" t="str">
        <x:v>Matching prior calendar year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3" customHeight="1">
      <x:c r="A13" s="2" t="str">
        <x:v>Units</x:v>
      </x:c>
      <x:c r="B13" s="12" t="n">
        <x:f>SUMIFS('Monthly Inputs'!$G$6:$G$1805,'Monthly Inputs'!$A$6:$A$1805,$B$5)</x:f>
        <x:v>21967754</x:v>
      </x:c>
      <x:c r="C13" s="2" t="str">
        <x:v>Individual beverage packs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9" customHeight="1">
      <x:c r="A16" s="9" t="str">
        <x:v>Month</x:v>
      </x:c>
      <x:c r="B16" s="9" t="str">
        <x:v>Revenue</x:v>
      </x:c>
      <x:c r="C16" s="9" t="str">
        <x:v>Target</x:v>
      </x:c>
      <x:c r="D16" s="9" t="str">
        <x:v>Variance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3" customHeight="1">
      <x:c r="A17" s="2" t="str">
        <x:f>TEXT(DATE($B$5,1,1),"yyyy-mm")</x:f>
        <x:v>2024-01</x:v>
      </x:c>
      <x:c r="B17" s="10" t="n">
        <x:f>SUMIFS('Monthly Inputs'!$F$6:$F$1805,'Monthly Inputs'!$B$6:$B$1805,A17)</x:f>
        <x:v>8215958.669999999</x:v>
      </x:c>
      <x:c r="C17" s="10" t="n">
        <x:f>SUMIFS('Monthly Inputs'!$I$6:$I$1805,'Monthly Inputs'!$B$6:$B$1805,A17)</x:f>
        <x:v>8194502.919999998</x:v>
      </x:c>
      <x:c r="D17" s="10" t="n">
        <x:f>B17-C17</x:f>
        <x:v>21455.75000000093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3" customHeight="1">
      <x:c r="A18" s="2" t="str">
        <x:f>TEXT(DATE($B$5,2,1),"yyyy-mm")</x:f>
        <x:v>2024-02</x:v>
      </x:c>
      <x:c r="B18" s="10" t="n">
        <x:f>SUMIFS('Monthly Inputs'!$F$6:$F$1805,'Monthly Inputs'!$B$6:$B$1805,A18)</x:f>
        <x:v>7568587.469999997</x:v>
      </x:c>
      <x:c r="C18" s="10" t="n">
        <x:f>SUMIFS('Monthly Inputs'!$I$6:$I$1805,'Monthly Inputs'!$B$6:$B$1805,A18)</x:f>
        <x:v>7567241.689999999</x:v>
      </x:c>
      <x:c r="D18" s="10" t="n">
        <x:f>B18-C18</x:f>
        <x:v>1345.7799999983981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3" customHeight="1">
      <x:c r="A19" s="2" t="str">
        <x:f>TEXT(DATE($B$5,3,1),"yyyy-mm")</x:f>
        <x:v>2024-03</x:v>
      </x:c>
      <x:c r="B19" s="10" t="n">
        <x:f>SUMIFS('Monthly Inputs'!$F$6:$F$1805,'Monthly Inputs'!$B$6:$B$1805,A19)</x:f>
        <x:v>7808445.219999999</x:v>
      </x:c>
      <x:c r="C19" s="10" t="n">
        <x:f>SUMIFS('Monthly Inputs'!$I$6:$I$1805,'Monthly Inputs'!$B$6:$B$1805,A19)</x:f>
        <x:v>7821907.349999997</x:v>
      </x:c>
      <x:c r="D19" s="10" t="n">
        <x:f>B19-C19</x:f>
        <x:v>-13462.129999998026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3" customHeight="1">
      <x:c r="A20" s="2" t="str">
        <x:f>TEXT(DATE($B$5,4,1),"yyyy-mm")</x:f>
        <x:v>2024-04</x:v>
      </x:c>
      <x:c r="B20" s="10" t="n">
        <x:f>SUMIFS('Monthly Inputs'!$F$6:$F$1805,'Monthly Inputs'!$B$6:$B$1805,A20)</x:f>
        <x:v>7117857.96</x:v>
      </x:c>
      <x:c r="C20" s="10" t="n">
        <x:f>SUMIFS('Monthly Inputs'!$I$6:$I$1805,'Monthly Inputs'!$B$6:$B$1805,A20)</x:f>
        <x:v>7102122.019999999</x:v>
      </x:c>
      <x:c r="D20" s="10" t="n">
        <x:f>B20-C20</x:f>
        <x:v>15735.940000001341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3" customHeight="1">
      <x:c r="A21" s="2" t="str">
        <x:f>TEXT(DATE($B$5,5,1),"yyyy-mm")</x:f>
        <x:v>2024-05</x:v>
      </x:c>
      <x:c r="B21" s="10" t="n">
        <x:f>SUMIFS('Monthly Inputs'!$F$6:$F$1805,'Monthly Inputs'!$B$6:$B$1805,A21)</x:f>
        <x:v>6814502.090000002</x:v>
      </x:c>
      <x:c r="C21" s="10" t="n">
        <x:f>SUMIFS('Monthly Inputs'!$I$6:$I$1805,'Monthly Inputs'!$B$6:$B$1805,A21)</x:f>
        <x:v>6802518.059999999</x:v>
      </x:c>
      <x:c r="D21" s="10" t="n">
        <x:f>B21-C21</x:f>
        <x:v>11984.030000003055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3" customHeight="1">
      <x:c r="A22" s="2" t="str">
        <x:f>TEXT(DATE($B$5,6,1),"yyyy-mm")</x:f>
        <x:v>2024-06</x:v>
      </x:c>
      <x:c r="B22" s="10" t="n">
        <x:f>SUMIFS('Monthly Inputs'!$F$6:$F$1805,'Monthly Inputs'!$B$6:$B$1805,A22)</x:f>
        <x:v>6192712.550000002</x:v>
      </x:c>
      <x:c r="C22" s="10" t="n">
        <x:f>SUMIFS('Monthly Inputs'!$I$6:$I$1805,'Monthly Inputs'!$B$6:$B$1805,A22)</x:f>
        <x:v>6173151.560000001</x:v>
      </x:c>
      <x:c r="D22" s="10" t="n">
        <x:f>B22-C22</x:f>
        <x:v>19560.990000000224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3" customHeight="1">
      <x:c r="A23" s="2" t="str">
        <x:f>TEXT(DATE($B$5,7,1),"yyyy-mm")</x:f>
        <x:v>2024-07</x:v>
      </x:c>
      <x:c r="B23" s="10" t="n">
        <x:f>SUMIFS('Monthly Inputs'!$F$6:$F$1805,'Monthly Inputs'!$B$6:$B$1805,A23)</x:f>
        <x:v>6311323.260000002</x:v>
      </x:c>
      <x:c r="C23" s="10" t="n">
        <x:f>SUMIFS('Monthly Inputs'!$I$6:$I$1805,'Monthly Inputs'!$B$6:$B$1805,A23)</x:f>
        <x:v>6304646.71</x:v>
      </x:c>
      <x:c r="D23" s="10" t="n">
        <x:f>B23-C23</x:f>
        <x:v>6676.550000001676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3" customHeight="1">
      <x:c r="A24" s="2" t="str">
        <x:f>TEXT(DATE($B$5,8,1),"yyyy-mm")</x:f>
        <x:v>2024-08</x:v>
      </x:c>
      <x:c r="B24" s="10" t="n">
        <x:f>SUMIFS('Monthly Inputs'!$F$6:$F$1805,'Monthly Inputs'!$B$6:$B$1805,A24)</x:f>
        <x:v>6495209.6</x:v>
      </x:c>
      <x:c r="C24" s="10" t="n">
        <x:f>SUMIFS('Monthly Inputs'!$I$6:$I$1805,'Monthly Inputs'!$B$6:$B$1805,A24)</x:f>
        <x:v>6515916.820000001</x:v>
      </x:c>
      <x:c r="D24" s="10" t="n">
        <x:f>B24-C24</x:f>
        <x:v>-20707.220000001602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3" customHeight="1">
      <x:c r="A25" s="2" t="str">
        <x:f>TEXT(DATE($B$5,9,1),"yyyy-mm")</x:f>
        <x:v>2024-09</x:v>
      </x:c>
      <x:c r="B25" s="10" t="n">
        <x:f>SUMIFS('Monthly Inputs'!$F$6:$F$1805,'Monthly Inputs'!$B$6:$B$1805,A25)</x:f>
        <x:v>6738966.19</x:v>
      </x:c>
      <x:c r="C25" s="10" t="n">
        <x:f>SUMIFS('Monthly Inputs'!$I$6:$I$1805,'Monthly Inputs'!$B$6:$B$1805,A25)</x:f>
        <x:v>6772159.559999998</x:v>
      </x:c>
      <x:c r="D25" s="10" t="n">
        <x:f>B25-C25</x:f>
        <x:v>-33193.36999999732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3" customHeight="1">
      <x:c r="A26" s="2" t="str">
        <x:f>TEXT(DATE($B$5,10,1),"yyyy-mm")</x:f>
        <x:v>2024-10</x:v>
      </x:c>
      <x:c r="B26" s="10" t="n">
        <x:f>SUMIFS('Monthly Inputs'!$F$6:$F$1805,'Monthly Inputs'!$B$6:$B$1805,A26)</x:f>
        <x:v>7638845.039999999</x:v>
      </x:c>
      <x:c r="C26" s="10" t="n">
        <x:f>SUMIFS('Monthly Inputs'!$I$6:$I$1805,'Monthly Inputs'!$B$6:$B$1805,A26)</x:f>
        <x:v>7652038.220000001</x:v>
      </x:c>
      <x:c r="D26" s="10" t="n">
        <x:f>B26-C26</x:f>
        <x:v>-13193.180000001565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3" customHeight="1">
      <x:c r="A27" s="2" t="str">
        <x:f>TEXT(DATE($B$5,11,1),"yyyy-mm")</x:f>
        <x:v>2024-11</x:v>
      </x:c>
      <x:c r="B27" s="10" t="n">
        <x:f>SUMIFS('Monthly Inputs'!$F$6:$F$1805,'Monthly Inputs'!$B$6:$B$1805,A27)</x:f>
        <x:v>8032784.949999999</x:v>
      </x:c>
      <x:c r="C27" s="10" t="n">
        <x:f>SUMIFS('Monthly Inputs'!$I$6:$I$1805,'Monthly Inputs'!$B$6:$B$1805,A27)</x:f>
        <x:v>8052760.65</x:v>
      </x:c>
      <x:c r="D27" s="10" t="n">
        <x:f>B27-C27</x:f>
        <x:v>-19975.700000001118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3" customHeight="1">
      <x:c r="A28" s="2" t="str">
        <x:f>TEXT(DATE($B$5,12,1),"yyyy-mm")</x:f>
        <x:v>2024-12</x:v>
      </x:c>
      <x:c r="B28" s="10" t="n">
        <x:f>SUMIFS('Monthly Inputs'!$F$6:$F$1805,'Monthly Inputs'!$B$6:$B$1805,A28)</x:f>
        <x:v>8784186.469999999</x:v>
      </x:c>
      <x:c r="C28" s="10" t="n">
        <x:f>SUMIFS('Monthly Inputs'!$I$6:$I$1805,'Monthly Inputs'!$B$6:$B$1805,A28)</x:f>
        <x:v>8837363.190000003</x:v>
      </x:c>
      <x:c r="D28" s="10" t="n">
        <x:f>B28-C28</x:f>
        <x:v>-53176.720000004396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3" customHeight="1">
      <x:c r="A31" s="17" t="str">
        <x:v>FY2024 action hypotheses (fixed snapshot)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3" customHeight="1">
      <x:c r="A33" s="18" t="str">
        <x:v>Coffee: revenue +3.6%, volume -1.9%. Review account-level distribution losses and run a controlled demand test. Monitor: Existing-SKU YoY, velocity, margin, active SKU-store-days.</x:v>
      </x:c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 ht="23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23" customHeight="1">
      <x:c r="A36" s="18" t="str">
        <x:v>Energy: largest absolute revenue increase, AUD 6,514,155. Prioritise a limited distribution trial with contribution gates. Monitor: Incremental GP after costs; velocity retention.</x:v>
      </x:c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 ht="23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3" customHeight="1">
      <x:c r="A39" s="18" t="str">
        <x:v>2,282 of 2,321 campaigns have positive lift but negative net incremental profit. Review deepest-discount campaigns; trial reduced depth with a holdout. Monitor: Net incremental profit, ROI, revenue delta, lift.</x:v>
      </x:c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 ht="23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</x:sheetData>
  <x:mergeCells>
    <x:mergeCell ref="A33:O34"/>
    <x:mergeCell ref="A36:O37"/>
    <x:mergeCell ref="A39:O40"/>
  </x:mergeCells>
  <x:conditionalFormatting sqref="D17:D28">
    <x:cfRule type="cellIs" dxfId="0" priority="1" operator="lessThan">
      <x:formula>0</x:formula>
    </x:cfRule>
  </x:conditionalFormatting>
  <x:dataValidations count="1">
    <x:dataValidation type="list" sqref="B5">
      <x:formula1>"2023,2024"</x:formula1>
    </x:dataValidation>
  </x:dataValidations>
  <x:pageMargins left="0.7" right="0.7" top="0.75" bottom="0.75" header="0.3" footer="0.3"/>
  <x:drawing xmlns:r="http://schemas.openxmlformats.org/officeDocument/2006/relationships" r:id="R1f9857e080ad4a3a"/>
</x:worksheet>
</file>

<file path=xl/worksheets/sheet2.xml><?xml version="1.0" encoding="utf-8"?>
<x:worksheet xmlns:x="http://schemas.openxmlformats.org/spreadsheetml/2006/main">
  <x:sheetPr>
    <x:tabColor rgb="FF172B3A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3" t="str">
        <x:v>Category economics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3" customHeight="1">
      <x:c r="A3" s="4" t="str">
        <x:v>SYNTHETIC. Calendar year selected on Executive Summary.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 ht="23" customHeight="1">
      <x:c r="A5" s="2" t="str">
        <x:v>Year</x:v>
      </x:c>
      <x:c r="B5" s="2" t="n">
        <x:f>'Executive Summary'!B5</x:f>
        <x:v>2024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9" customHeight="1">
      <x:c r="A7" s="9" t="str">
        <x:v>Category</x:v>
      </x:c>
      <x:c r="B7" s="9" t="str">
        <x:v>Revenue</x:v>
      </x:c>
      <x:c r="C7" s="9" t="str">
        <x:v>Units</x:v>
      </x:c>
      <x:c r="D7" s="9" t="str">
        <x:v>Gross profit</x:v>
      </x:c>
      <x:c r="E7" s="9" t="str">
        <x:v>GP margin</x:v>
      </x:c>
      <x:c r="F7" s="9" t="str">
        <x:v>Target</x:v>
      </x:c>
      <x:c r="G7" s="9" t="str">
        <x:v>Attainment</x:v>
      </x:c>
      <x:c r="H7" s="9" t="str">
        <x:v>Revenue LY</x:v>
      </x:c>
      <x:c r="I7" s="9" t="str">
        <x:v>YoY</x:v>
      </x:c>
      <x:c r="J7" s="2"/>
      <x:c r="K7" s="2"/>
      <x:c r="L7" s="2"/>
      <x:c r="M7" s="2"/>
      <x:c r="N7" s="2"/>
      <x:c r="O7" s="2"/>
    </x:row>
    <x:row r="8" ht="23" customHeight="1">
      <x:c r="A8" s="2" t="str">
        <x:v>Sparkling</x:v>
      </x:c>
      <x:c r="B8" s="10" t="n">
        <x:f>SUMIFS('Monthly Inputs'!$F$6:$F$1805,'Monthly Inputs'!$C$6:$C$1805,$A8,'Monthly Inputs'!$A$6:$A$1805,$B$5)</x:f>
        <x:v>25341368.51</x:v>
      </x:c>
      <x:c r="C8" s="12" t="n">
        <x:f>SUMIFS('Monthly Inputs'!$G$6:$G$1805,'Monthly Inputs'!$C$6:$C$1805,$A8,'Monthly Inputs'!$A$6:$A$1805,$B$5)</x:f>
        <x:v>6802039</x:v>
      </x:c>
      <x:c r="D8" s="10" t="n">
        <x:f>SUMIFS('Monthly Inputs'!$H$6:$H$1805,'Monthly Inputs'!$C$6:$C$1805,$A8,'Monthly Inputs'!$A$6:$A$1805,$B$5)</x:f>
        <x:v>12521696.089999998</x:v>
      </x:c>
      <x:c r="E8" s="14" t="n">
        <x:f>D8/B8</x:f>
        <x:v>0.49412075299164643</x:v>
      </x:c>
      <x:c r="F8" s="10" t="n">
        <x:f>SUMIFS('Monthly Inputs'!$I$6:$I$1805,'Monthly Inputs'!$C$6:$C$1805,$A8,'Monthly Inputs'!$A$6:$A$1805,$B$5)</x:f>
        <x:v>25667230.550000016</x:v>
      </x:c>
      <x:c r="G8" s="14" t="n">
        <x:f>B8/F8</x:f>
        <x:v>0.9873043552803552</x:v>
      </x:c>
      <x:c r="H8" s="10" t="n">
        <x:f>SUMIFS('Monthly Inputs'!$F$6:$F$1805,'Monthly Inputs'!$C$6:$C$1805,$A8,'Monthly Inputs'!$A$6:$A$1805,$B$5-1)</x:f>
        <x:v>24087532.719999995</x:v>
      </x:c>
      <x:c r="I8" s="14" t="n">
        <x:f>IF(H8=0,"n.a.",B8/H8-1)</x:f>
        <x:v>0.052053309260642555</x:v>
      </x:c>
      <x:c r="J8" s="2"/>
      <x:c r="K8" s="2"/>
      <x:c r="L8" s="2"/>
      <x:c r="M8" s="2"/>
      <x:c r="N8" s="2"/>
      <x:c r="O8" s="2"/>
    </x:row>
    <x:row r="9" ht="23" customHeight="1">
      <x:c r="A9" s="2" t="str">
        <x:v>Energy</x:v>
      </x:c>
      <x:c r="B9" s="10" t="n">
        <x:f>SUMIFS('Monthly Inputs'!$F$6:$F$1805,'Monthly Inputs'!$C$6:$C$1805,$A9,'Monthly Inputs'!$A$6:$A$1805,$B$5)</x:f>
        <x:v>25237237.149999987</x:v>
      </x:c>
      <x:c r="C9" s="12" t="n">
        <x:f>SUMIFS('Monthly Inputs'!$G$6:$G$1805,'Monthly Inputs'!$C$6:$C$1805,$A9,'Monthly Inputs'!$A$6:$A$1805,$B$5)</x:f>
        <x:v>5075948</x:v>
      </x:c>
      <x:c r="D9" s="10" t="n">
        <x:f>SUMIFS('Monthly Inputs'!$H$6:$H$1805,'Monthly Inputs'!$C$6:$C$1805,$A9,'Monthly Inputs'!$A$6:$A$1805,$B$5)</x:f>
        <x:v>13956842.179999994</x:v>
      </x:c>
      <x:c r="E9" s="14" t="n">
        <x:f>D9/B9</x:f>
        <x:v>0.5530257570211088</x:v>
      </x:c>
      <x:c r="F9" s="10" t="n">
        <x:f>SUMIFS('Monthly Inputs'!$I$6:$I$1805,'Monthly Inputs'!$C$6:$C$1805,$A9,'Monthly Inputs'!$A$6:$A$1805,$B$5)</x:f>
        <x:v>23665123.519999992</x:v>
      </x:c>
      <x:c r="G9" s="14" t="n">
        <x:f>B9/F9</x:f>
        <x:v>1.0664316680481876</x:v>
      </x:c>
      <x:c r="H9" s="10" t="n">
        <x:f>SUMIFS('Monthly Inputs'!$F$6:$F$1805,'Monthly Inputs'!$C$6:$C$1805,$A9,'Monthly Inputs'!$A$6:$A$1805,$B$5-1)</x:f>
        <x:v>18723082.08</x:v>
      </x:c>
      <x:c r="I9" s="14" t="n">
        <x:f>IF(H9=0,"n.a.",B9/H9-1)</x:f>
        <x:v>0.3479210870393188</x:v>
      </x:c>
      <x:c r="J9" s="2"/>
      <x:c r="K9" s="2"/>
      <x:c r="L9" s="2"/>
      <x:c r="M9" s="2"/>
      <x:c r="N9" s="2"/>
      <x:c r="O9" s="2"/>
    </x:row>
    <x:row r="10" ht="23" customHeight="1">
      <x:c r="A10" s="2" t="str">
        <x:v>Water</x:v>
      </x:c>
      <x:c r="B10" s="10" t="n">
        <x:f>SUMIFS('Monthly Inputs'!$F$6:$F$1805,'Monthly Inputs'!$C$6:$C$1805,$A10,'Monthly Inputs'!$A$6:$A$1805,$B$5)</x:f>
        <x:v>16813049.929999992</x:v>
      </x:c>
      <x:c r="C10" s="12" t="n">
        <x:f>SUMIFS('Monthly Inputs'!$G$6:$G$1805,'Monthly Inputs'!$C$6:$C$1805,$A10,'Monthly Inputs'!$A$6:$A$1805,$B$5)</x:f>
        <x:v>5829848</x:v>
      </x:c>
      <x:c r="D10" s="10" t="n">
        <x:f>SUMIFS('Monthly Inputs'!$H$6:$H$1805,'Monthly Inputs'!$C$6:$C$1805,$A10,'Monthly Inputs'!$A$6:$A$1805,$B$5)</x:f>
        <x:v>7152101.159999993</x:v>
      </x:c>
      <x:c r="E10" s="14" t="n">
        <x:f>D10/B10</x:f>
        <x:v>0.4253898721396348</x:v>
      </x:c>
      <x:c r="F10" s="10" t="n">
        <x:f>SUMIFS('Monthly Inputs'!$I$6:$I$1805,'Monthly Inputs'!$C$6:$C$1805,$A10,'Monthly Inputs'!$A$6:$A$1805,$B$5)</x:f>
        <x:v>16916337.470000006</x:v>
      </x:c>
      <x:c r="G10" s="14" t="n">
        <x:f>B10/F10</x:f>
        <x:v>0.9938942137928386</x:v>
      </x:c>
      <x:c r="H10" s="10" t="n">
        <x:f>SUMIFS('Monthly Inputs'!$F$6:$F$1805,'Monthly Inputs'!$C$6:$C$1805,$A10,'Monthly Inputs'!$A$6:$A$1805,$B$5-1)</x:f>
        <x:v>15775146.370000003</x:v>
      </x:c>
      <x:c r="I10" s="14" t="n">
        <x:f>IF(H10=0,"n.a.",B10/H10-1)</x:f>
        <x:v>0.06579359301374188</x:v>
      </x:c>
      <x:c r="J10" s="2"/>
      <x:c r="K10" s="2"/>
      <x:c r="L10" s="2"/>
      <x:c r="M10" s="2"/>
      <x:c r="N10" s="2"/>
      <x:c r="O10" s="2"/>
    </x:row>
    <x:row r="11" ht="23" customHeight="1">
      <x:c r="A11" s="2" t="str">
        <x:v>Sports</x:v>
      </x:c>
      <x:c r="B11" s="10" t="n">
        <x:f>SUMIFS('Monthly Inputs'!$F$6:$F$1805,'Monthly Inputs'!$C$6:$C$1805,$A11,'Monthly Inputs'!$A$6:$A$1805,$B$5)</x:f>
        <x:v>14891907.130000006</x:v>
      </x:c>
      <x:c r="C11" s="12" t="n">
        <x:f>SUMIFS('Monthly Inputs'!$G$6:$G$1805,'Monthly Inputs'!$C$6:$C$1805,$A11,'Monthly Inputs'!$A$6:$A$1805,$B$5)</x:f>
        <x:v>3252587</x:v>
      </x:c>
      <x:c r="D11" s="10" t="n">
        <x:f>SUMIFS('Monthly Inputs'!$H$6:$H$1805,'Monthly Inputs'!$C$6:$C$1805,$A11,'Monthly Inputs'!$A$6:$A$1805,$B$5)</x:f>
        <x:v>7058019.009999997</x:v>
      </x:c>
      <x:c r="E11" s="14" t="n">
        <x:f>D11/B11</x:f>
        <x:v>0.47394997486799356</x:v>
      </x:c>
      <x:c r="F11" s="10" t="n">
        <x:f>SUMIFS('Monthly Inputs'!$I$6:$I$1805,'Monthly Inputs'!$C$6:$C$1805,$A11,'Monthly Inputs'!$A$6:$A$1805,$B$5)</x:f>
        <x:v>14160780.040000003</x:v>
      </x:c>
      <x:c r="G11" s="14" t="n">
        <x:f>B11/F11</x:f>
        <x:v>1.0516304248731205</x:v>
      </x:c>
      <x:c r="H11" s="10" t="n">
        <x:f>SUMIFS('Monthly Inputs'!$F$6:$F$1805,'Monthly Inputs'!$C$6:$C$1805,$A11,'Monthly Inputs'!$A$6:$A$1805,$B$5-1)</x:f>
        <x:v>13295841.34000001</x:v>
      </x:c>
      <x:c r="I11" s="14" t="n">
        <x:f>IF(H11=0,"n.a.",B11/H11-1)</x:f>
        <x:v>0.12004248164411346</x:v>
      </x:c>
      <x:c r="J11" s="2"/>
      <x:c r="K11" s="2"/>
      <x:c r="L11" s="2"/>
      <x:c r="M11" s="2"/>
      <x:c r="N11" s="2"/>
      <x:c r="O11" s="2"/>
    </x:row>
    <x:row r="12" ht="23" customHeight="1">
      <x:c r="A12" s="2" t="str">
        <x:v>Coffee</x:v>
      </x:c>
      <x:c r="B12" s="10" t="n">
        <x:f>SUMIFS('Monthly Inputs'!$F$6:$F$1805,'Monthly Inputs'!$C$6:$C$1805,$A12,'Monthly Inputs'!$A$6:$A$1805,$B$5)</x:f>
        <x:v>5435816.750000002</x:v>
      </x:c>
      <x:c r="C12" s="12" t="n">
        <x:f>SUMIFS('Monthly Inputs'!$G$6:$G$1805,'Monthly Inputs'!$C$6:$C$1805,$A12,'Monthly Inputs'!$A$6:$A$1805,$B$5)</x:f>
        <x:v>1007332</x:v>
      </x:c>
      <x:c r="D12" s="10" t="n">
        <x:f>SUMIFS('Monthly Inputs'!$H$6:$H$1805,'Monthly Inputs'!$C$6:$C$1805,$A12,'Monthly Inputs'!$A$6:$A$1805,$B$5)</x:f>
        <x:v>2020871.8900000008</x:v>
      </x:c>
      <x:c r="E12" s="14" t="n">
        <x:f>D12/B12</x:f>
        <x:v>0.3717696866804791</x:v>
      </x:c>
      <x:c r="F12" s="10" t="n">
        <x:f>SUMIFS('Monthly Inputs'!$I$6:$I$1805,'Monthly Inputs'!$C$6:$C$1805,$A12,'Monthly Inputs'!$A$6:$A$1805,$B$5)</x:f>
        <x:v>7386857.170000003</x:v>
      </x:c>
      <x:c r="G12" s="14" t="n">
        <x:f>B12/F12</x:f>
        <x:v>0.7358767910223448</x:v>
      </x:c>
      <x:c r="H12" s="10" t="n">
        <x:f>SUMIFS('Monthly Inputs'!$F$6:$F$1805,'Monthly Inputs'!$C$6:$C$1805,$A12,'Monthly Inputs'!$A$6:$A$1805,$B$5-1)</x:f>
        <x:v>5247858.609999999</x:v>
      </x:c>
      <x:c r="I12" s="14" t="n">
        <x:f>IF(H12=0,"n.a.",B12/H12-1)</x:f>
        <x:v>0.035816159307691775</x:v>
      </x:c>
      <x:c r="J12" s="2"/>
      <x:c r="K12" s="2"/>
      <x:c r="L12" s="2"/>
      <x:c r="M12" s="2"/>
      <x:c r="N12" s="2"/>
      <x:c r="O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</x:sheetData>
  <x:conditionalFormatting sqref="G8:G12">
    <x:cfRule type="cellIs" dxfId="1" priority="1" operator="lessThan">
      <x:formula>1</x:formula>
    </x:cfRule>
  </x:conditionalFormatting>
  <x:pageMargins left="0.7" right="0.7" top="0.75" bottom="0.75" header="0.3" footer="0.3"/>
  <x:drawing xmlns:r="http://schemas.openxmlformats.org/officeDocument/2006/relationships" r:id="R36a58c6aeca6448f"/>
</x:worksheet>
</file>

<file path=xl/worksheets/sheet3.xml><?xml version="1.0" encoding="utf-8"?>
<x:worksheet xmlns:x="http://schemas.openxmlformats.org/spreadsheetml/2006/main">
  <x:sheetPr>
    <x:tabColor rgb="FF172B3A"/>
  </x:sheetPr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Customer and channel performance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 t="str">
        <x:v>SYNTHETIC. One fictional account per channel/region combination.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6"/>
      <x:c r="M4" s="6"/>
      <x:c r="N4" s="6"/>
      <x:c r="O4" s="6"/>
    </x:row>
    <x:row r="5" ht="23" customHeight="1">
      <x:c r="A5" s="2" t="str">
        <x:v>Year</x:v>
      </x:c>
      <x:c r="B5" s="2" t="n">
        <x:f>'Executive Summary'!B5</x:f>
        <x:v>2024</x:v>
      </x:c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9" customHeight="1">
      <x:c r="A7" s="9" t="str">
        <x:v>Account</x:v>
      </x:c>
      <x:c r="B7" s="9" t="str">
        <x:v>Channel</x:v>
      </x:c>
      <x:c r="C7" s="9" t="str">
        <x:v>Region</x:v>
      </x:c>
      <x:c r="D7" s="9" t="str">
        <x:v>Revenue</x:v>
      </x:c>
      <x:c r="E7" s="9" t="str">
        <x:v>Units</x:v>
      </x:c>
      <x:c r="F7" s="9" t="str">
        <x:v>GP margin</x:v>
      </x:c>
      <x:c r="G7" s="9" t="str">
        <x:v>Target</x:v>
      </x:c>
      <x:c r="H7" s="9" t="str">
        <x:v>Attainment</x:v>
      </x:c>
      <x:c r="I7" s="9" t="str">
        <x:v>YoY</x:v>
      </x:c>
      <x:c r="J7" s="2"/>
      <x:c r="K7" s="2"/>
    </x:row>
    <x:row r="8" ht="23" customHeight="1">
      <x:c r="A8" s="2" t="str">
        <x:v>Fictional Account 01-1</x:v>
      </x:c>
      <x:c r="B8" s="2" t="str">
        <x:v>Grocery</x:v>
      </x:c>
      <x:c r="C8" s="2" t="str">
        <x:v>NSW</x:v>
      </x:c>
      <x:c r="D8" s="10" t="n">
        <x:f>SUMIFS('Monthly Inputs'!$F$6:$F$1805,'Monthly Inputs'!$D$6:$D$1805,$B8,'Monthly Inputs'!$E$6:$E$1805,$C8,'Monthly Inputs'!$A$6:$A$1805,$B$5)</x:f>
        <x:v>13809000.620000005</x:v>
      </x:c>
      <x:c r="E8" s="12" t="n">
        <x:f>SUMIFS('Monthly Inputs'!$G$6:$G$1805,'Monthly Inputs'!$D$6:$D$1805,$B8,'Monthly Inputs'!$E$6:$E$1805,$C8,'Monthly Inputs'!$A$6:$A$1805,$B$5)</x:f>
        <x:v>3588290</x:v>
      </x:c>
      <x:c r="F8" s="14" t="n">
        <x:f>SUMIFS('Monthly Inputs'!$H$6:$H$1805,'Monthly Inputs'!$D$6:$D$1805,$B8,'Monthly Inputs'!$E$6:$E$1805,$C8,'Monthly Inputs'!$A$6:$A$1805,$B$5)/D8</x:f>
        <x:v>0.4664819009907465</x:v>
      </x:c>
      <x:c r="G8" s="10" t="n">
        <x:f>SUMIFS('Monthly Inputs'!$I$6:$I$1805,'Monthly Inputs'!$D$6:$D$1805,$B8,'Monthly Inputs'!$E$6:$E$1805,$C8,'Monthly Inputs'!$A$6:$A$1805,$B$5)</x:f>
        <x:v>13578018.11</x:v>
      </x:c>
      <x:c r="H8" s="14" t="n">
        <x:f>D8/G8</x:f>
        <x:v>1.017011504044901</x:v>
      </x:c>
      <x:c r="I8" s="14" t="n">
        <x:f>IF($B$5=2023,"n.a.",D8/SUMIFS('Monthly Inputs'!$F$6:$F$1805,'Monthly Inputs'!$D$6:$D$1805,$B8,'Monthly Inputs'!$E$6:$E$1805,$C8,'Monthly Inputs'!$A$6:$A$1805,$B$5-1)-1)</x:f>
        <x:v>0.14270491011829045</x:v>
      </x:c>
      <x:c r="J8" s="2"/>
      <x:c r="K8" s="2"/>
    </x:row>
    <x:row r="9" ht="23" customHeight="1">
      <x:c r="A9" s="2" t="str">
        <x:v>Fictional Account 01-2</x:v>
      </x:c>
      <x:c r="B9" s="2" t="str">
        <x:v>Grocery</x:v>
      </x:c>
      <x:c r="C9" s="2" t="str">
        <x:v>VIC</x:v>
      </x:c>
      <x:c r="D9" s="10" t="n">
        <x:f>SUMIFS('Monthly Inputs'!$F$6:$F$1805,'Monthly Inputs'!$D$6:$D$1805,$B9,'Monthly Inputs'!$E$6:$E$1805,$C9,'Monthly Inputs'!$A$6:$A$1805,$B$5)</x:f>
        <x:v>12878293.350000001</x:v>
      </x:c>
      <x:c r="E9" s="12" t="n">
        <x:f>SUMIFS('Monthly Inputs'!$G$6:$G$1805,'Monthly Inputs'!$D$6:$D$1805,$B9,'Monthly Inputs'!$E$6:$E$1805,$C9,'Monthly Inputs'!$A$6:$A$1805,$B$5)</x:f>
        <x:v>3347116</x:v>
      </x:c>
      <x:c r="F9" s="14" t="n">
        <x:f>SUMIFS('Monthly Inputs'!$H$6:$H$1805,'Monthly Inputs'!$D$6:$D$1805,$B9,'Monthly Inputs'!$E$6:$E$1805,$C9,'Monthly Inputs'!$A$6:$A$1805,$B$5)/D9</x:f>
        <x:v>0.466610742331009</x:v>
      </x:c>
      <x:c r="G9" s="10" t="n">
        <x:f>SUMIFS('Monthly Inputs'!$I$6:$I$1805,'Monthly Inputs'!$D$6:$D$1805,$B9,'Monthly Inputs'!$E$6:$E$1805,$C9,'Monthly Inputs'!$A$6:$A$1805,$B$5)</x:f>
        <x:v>12664214.33</x:v>
      </x:c>
      <x:c r="H9" s="14" t="n">
        <x:f>D9/G9</x:f>
        <x:v>1.0169042480189927</x:v>
      </x:c>
      <x:c r="I9" s="14" t="n">
        <x:f>IF($B$5=2023,"n.a.",D9/SUMIFS('Monthly Inputs'!$F$6:$F$1805,'Monthly Inputs'!$D$6:$D$1805,$B9,'Monthly Inputs'!$E$6:$E$1805,$C9,'Monthly Inputs'!$A$6:$A$1805,$B$5-1)-1)</x:f>
        <x:v>0.1380759381661283</x:v>
      </x:c>
      <x:c r="J9" s="2"/>
      <x:c r="K9" s="2"/>
    </x:row>
    <x:row r="10" ht="23" customHeight="1">
      <x:c r="A10" s="2" t="str">
        <x:v>Fictional Account 01-3</x:v>
      </x:c>
      <x:c r="B10" s="2" t="str">
        <x:v>Grocery</x:v>
      </x:c>
      <x:c r="C10" s="2" t="str">
        <x:v>QLD</x:v>
      </x:c>
      <x:c r="D10" s="10" t="n">
        <x:f>SUMIFS('Monthly Inputs'!$F$6:$F$1805,'Monthly Inputs'!$D$6:$D$1805,$B10,'Monthly Inputs'!$E$6:$E$1805,$C10,'Monthly Inputs'!$A$6:$A$1805,$B$5)</x:f>
        <x:v>13294750.129999999</x:v>
      </x:c>
      <x:c r="E10" s="12" t="n">
        <x:f>SUMIFS('Monthly Inputs'!$G$6:$G$1805,'Monthly Inputs'!$D$6:$D$1805,$B10,'Monthly Inputs'!$E$6:$E$1805,$C10,'Monthly Inputs'!$A$6:$A$1805,$B$5)</x:f>
        <x:v>3459378</x:v>
      </x:c>
      <x:c r="F10" s="14" t="n">
        <x:f>SUMIFS('Monthly Inputs'!$H$6:$H$1805,'Monthly Inputs'!$D$6:$D$1805,$B10,'Monthly Inputs'!$E$6:$E$1805,$C10,'Monthly Inputs'!$A$6:$A$1805,$B$5)/D10</x:f>
        <x:v>0.46673297499574745</x:v>
      </x:c>
      <x:c r="G10" s="10" t="n">
        <x:f>SUMIFS('Monthly Inputs'!$I$6:$I$1805,'Monthly Inputs'!$D$6:$D$1805,$B10,'Monthly Inputs'!$E$6:$E$1805,$C10,'Monthly Inputs'!$A$6:$A$1805,$B$5)</x:f>
        <x:v>13055915.15</x:v>
      </x:c>
      <x:c r="H10" s="14" t="n">
        <x:f>D10/G10</x:f>
        <x:v>1.018293239290851</x:v>
      </x:c>
      <x:c r="I10" s="14" t="n">
        <x:f>IF($B$5=2023,"n.a.",D10/SUMIFS('Monthly Inputs'!$F$6:$F$1805,'Monthly Inputs'!$D$6:$D$1805,$B10,'Monthly Inputs'!$E$6:$E$1805,$C10,'Monthly Inputs'!$A$6:$A$1805,$B$5-1)-1)</x:f>
        <x:v>0.14041337444711033</x:v>
      </x:c>
      <x:c r="J10" s="2"/>
      <x:c r="K10" s="2"/>
    </x:row>
    <x:row r="11" ht="23" customHeight="1">
      <x:c r="A11" s="2" t="str">
        <x:v>Fictional Account 02-1</x:v>
      </x:c>
      <x:c r="B11" s="2" t="str">
        <x:v>Convenience</x:v>
      </x:c>
      <x:c r="C11" s="2" t="str">
        <x:v>NSW</x:v>
      </x:c>
      <x:c r="D11" s="10" t="n">
        <x:f>SUMIFS('Monthly Inputs'!$F$6:$F$1805,'Monthly Inputs'!$D$6:$D$1805,$B11,'Monthly Inputs'!$E$6:$E$1805,$C11,'Monthly Inputs'!$A$6:$A$1805,$B$5)</x:f>
        <x:v>4966558.840000001</x:v>
      </x:c>
      <x:c r="E11" s="12" t="n">
        <x:f>SUMIFS('Monthly Inputs'!$G$6:$G$1805,'Monthly Inputs'!$D$6:$D$1805,$B11,'Monthly Inputs'!$E$6:$E$1805,$C11,'Monthly Inputs'!$A$6:$A$1805,$B$5)</x:f>
        <x:v>1140742</x:v>
      </x:c>
      <x:c r="F11" s="14" t="n">
        <x:f>SUMIFS('Monthly Inputs'!$H$6:$H$1805,'Monthly Inputs'!$D$6:$D$1805,$B11,'Monthly Inputs'!$E$6:$E$1805,$C11,'Monthly Inputs'!$A$6:$A$1805,$B$5)/D11</x:f>
        <x:v>0.5332110230269617</x:v>
      </x:c>
      <x:c r="G11" s="10" t="n">
        <x:f>SUMIFS('Monthly Inputs'!$I$6:$I$1805,'Monthly Inputs'!$D$6:$D$1805,$B11,'Monthly Inputs'!$E$6:$E$1805,$C11,'Monthly Inputs'!$A$6:$A$1805,$B$5)</x:f>
        <x:v>5458275.4</x:v>
      </x:c>
      <x:c r="H11" s="14" t="n">
        <x:f>D11/G11</x:f>
        <x:v>0.9099135672047622</x:v>
      </x:c>
      <x:c r="I11" s="14" t="n">
        <x:f>IF($B$5=2023,"n.a.",D11/SUMIFS('Monthly Inputs'!$F$6:$F$1805,'Monthly Inputs'!$D$6:$D$1805,$B11,'Monthly Inputs'!$E$6:$E$1805,$C11,'Monthly Inputs'!$A$6:$A$1805,$B$5-1)-1)</x:f>
        <x:v>0.12379759465995455</x:v>
      </x:c>
      <x:c r="J11" s="2"/>
      <x:c r="K11" s="2"/>
    </x:row>
    <x:row r="12" ht="23" customHeight="1">
      <x:c r="A12" s="2" t="str">
        <x:v>Fictional Account 02-2</x:v>
      </x:c>
      <x:c r="B12" s="2" t="str">
        <x:v>Convenience</x:v>
      </x:c>
      <x:c r="C12" s="2" t="str">
        <x:v>VIC</x:v>
      </x:c>
      <x:c r="D12" s="10" t="n">
        <x:f>SUMIFS('Monthly Inputs'!$F$6:$F$1805,'Monthly Inputs'!$D$6:$D$1805,$B12,'Monthly Inputs'!$E$6:$E$1805,$C12,'Monthly Inputs'!$A$6:$A$1805,$B$5)</x:f>
        <x:v>4623468.21</x:v>
      </x:c>
      <x:c r="E12" s="12" t="n">
        <x:f>SUMIFS('Monthly Inputs'!$G$6:$G$1805,'Monthly Inputs'!$D$6:$D$1805,$B12,'Monthly Inputs'!$E$6:$E$1805,$C12,'Monthly Inputs'!$A$6:$A$1805,$B$5)</x:f>
        <x:v>1062480</x:v>
      </x:c>
      <x:c r="F12" s="14" t="n">
        <x:f>SUMIFS('Monthly Inputs'!$H$6:$H$1805,'Monthly Inputs'!$D$6:$D$1805,$B12,'Monthly Inputs'!$E$6:$E$1805,$C12,'Monthly Inputs'!$A$6:$A$1805,$B$5)/D12</x:f>
        <x:v>0.5331693521041858</x:v>
      </x:c>
      <x:c r="G12" s="10" t="n">
        <x:f>SUMIFS('Monthly Inputs'!$I$6:$I$1805,'Monthly Inputs'!$D$6:$D$1805,$B12,'Monthly Inputs'!$E$6:$E$1805,$C12,'Monthly Inputs'!$A$6:$A$1805,$B$5)</x:f>
        <x:v>5091025.879999999</x:v>
      </x:c>
      <x:c r="H12" s="14" t="n">
        <x:f>D12/G12</x:f>
        <x:v>0.908160421686955</x:v>
      </x:c>
      <x:c r="I12" s="14" t="n">
        <x:f>IF($B$5=2023,"n.a.",D12/SUMIFS('Monthly Inputs'!$F$6:$F$1805,'Monthly Inputs'!$D$6:$D$1805,$B12,'Monthly Inputs'!$E$6:$E$1805,$C12,'Monthly Inputs'!$A$6:$A$1805,$B$5-1)-1)</x:f>
        <x:v>0.11912850072355607</x:v>
      </x:c>
      <x:c r="J12" s="2"/>
      <x:c r="K12" s="2"/>
    </x:row>
    <x:row r="13" ht="23" customHeight="1">
      <x:c r="A13" s="2" t="str">
        <x:v>Fictional Account 02-3</x:v>
      </x:c>
      <x:c r="B13" s="2" t="str">
        <x:v>Convenience</x:v>
      </x:c>
      <x:c r="C13" s="2" t="str">
        <x:v>QLD</x:v>
      </x:c>
      <x:c r="D13" s="10" t="n">
        <x:f>SUMIFS('Monthly Inputs'!$F$6:$F$1805,'Monthly Inputs'!$D$6:$D$1805,$B13,'Monthly Inputs'!$E$6:$E$1805,$C13,'Monthly Inputs'!$A$6:$A$1805,$B$5)</x:f>
        <x:v>4783642.23</x:v>
      </x:c>
      <x:c r="E13" s="12" t="n">
        <x:f>SUMIFS('Monthly Inputs'!$G$6:$G$1805,'Monthly Inputs'!$D$6:$D$1805,$B13,'Monthly Inputs'!$E$6:$E$1805,$C13,'Monthly Inputs'!$A$6:$A$1805,$B$5)</x:f>
        <x:v>1098369</x:v>
      </x:c>
      <x:c r="F13" s="14" t="n">
        <x:f>SUMIFS('Monthly Inputs'!$H$6:$H$1805,'Monthly Inputs'!$D$6:$D$1805,$B13,'Monthly Inputs'!$E$6:$E$1805,$C13,'Monthly Inputs'!$A$6:$A$1805,$B$5)/D13</x:f>
        <x:v>0.5331056478276804</x:v>
      </x:c>
      <x:c r="G13" s="10" t="n">
        <x:f>SUMIFS('Monthly Inputs'!$I$6:$I$1805,'Monthly Inputs'!$D$6:$D$1805,$B13,'Monthly Inputs'!$E$6:$E$1805,$C13,'Monthly Inputs'!$A$6:$A$1805,$B$5)</x:f>
        <x:v>5248394.92</x:v>
      </x:c>
      <x:c r="H13" s="14" t="n">
        <x:f>D13/G13</x:f>
        <x:v>0.9114486053195099</x:v>
      </x:c>
      <x:c r="I13" s="14" t="n">
        <x:f>IF($B$5=2023,"n.a.",D13/SUMIFS('Monthly Inputs'!$F$6:$F$1805,'Monthly Inputs'!$D$6:$D$1805,$B13,'Monthly Inputs'!$E$6:$E$1805,$C13,'Monthly Inputs'!$A$6:$A$1805,$B$5-1)-1)</x:f>
        <x:v>0.12870627416078673</x:v>
      </x:c>
      <x:c r="J13" s="2"/>
      <x:c r="K13" s="2"/>
    </x:row>
    <x:row r="14" ht="23" customHeight="1">
      <x:c r="A14" s="2" t="str">
        <x:v>Fictional Account 03-1</x:v>
      </x:c>
      <x:c r="B14" s="2" t="str">
        <x:v>Petrol</x:v>
      </x:c>
      <x:c r="C14" s="2" t="str">
        <x:v>NSW</x:v>
      </x:c>
      <x:c r="D14" s="10" t="n">
        <x:f>SUMIFS('Monthly Inputs'!$F$6:$F$1805,'Monthly Inputs'!$D$6:$D$1805,$B14,'Monthly Inputs'!$E$6:$E$1805,$C14,'Monthly Inputs'!$A$6:$A$1805,$B$5)</x:f>
        <x:v>5094007.620000003</x:v>
      </x:c>
      <x:c r="E14" s="12" t="n">
        <x:f>SUMIFS('Monthly Inputs'!$G$6:$G$1805,'Monthly Inputs'!$D$6:$D$1805,$B14,'Monthly Inputs'!$E$6:$E$1805,$C14,'Monthly Inputs'!$A$6:$A$1805,$B$5)</x:f>
        <x:v>1180192</x:v>
      </x:c>
      <x:c r="F14" s="14" t="n">
        <x:f>SUMIFS('Monthly Inputs'!$H$6:$H$1805,'Monthly Inputs'!$D$6:$D$1805,$B14,'Monthly Inputs'!$E$6:$E$1805,$C14,'Monthly Inputs'!$A$6:$A$1805,$B$5)/D14</x:f>
        <x:v>0.5239731737974901</x:v>
      </x:c>
      <x:c r="G14" s="10" t="n">
        <x:f>SUMIFS('Monthly Inputs'!$I$6:$I$1805,'Monthly Inputs'!$D$6:$D$1805,$B14,'Monthly Inputs'!$E$6:$E$1805,$C14,'Monthly Inputs'!$A$6:$A$1805,$B$5)</x:f>
        <x:v>4980820.1000000015</x:v>
      </x:c>
      <x:c r="H14" s="14" t="n">
        <x:f>D14/G14</x:f>
        <x:v>1.0227246754003425</x:v>
      </x:c>
      <x:c r="I14" s="14" t="n">
        <x:f>IF($B$5=2023,"n.a.",D14/SUMIFS('Monthly Inputs'!$F$6:$F$1805,'Monthly Inputs'!$D$6:$D$1805,$B14,'Monthly Inputs'!$E$6:$E$1805,$C14,'Monthly Inputs'!$A$6:$A$1805,$B$5-1)-1)</x:f>
        <x:v>0.14352251752189216</x:v>
      </x:c>
      <x:c r="J14" s="2"/>
      <x:c r="K14" s="2"/>
    </x:row>
    <x:row r="15" ht="23" customHeight="1">
      <x:c r="A15" s="2" t="str">
        <x:v>Fictional Account 03-2</x:v>
      </x:c>
      <x:c r="B15" s="2" t="str">
        <x:v>Petrol</x:v>
      </x:c>
      <x:c r="C15" s="2" t="str">
        <x:v>VIC</x:v>
      </x:c>
      <x:c r="D15" s="10" t="n">
        <x:f>SUMIFS('Monthly Inputs'!$F$6:$F$1805,'Monthly Inputs'!$D$6:$D$1805,$B15,'Monthly Inputs'!$E$6:$E$1805,$C15,'Monthly Inputs'!$A$6:$A$1805,$B$5)</x:f>
        <x:v>4748238.81</x:v>
      </x:c>
      <x:c r="E15" s="12" t="n">
        <x:f>SUMIFS('Monthly Inputs'!$G$6:$G$1805,'Monthly Inputs'!$D$6:$D$1805,$B15,'Monthly Inputs'!$E$6:$E$1805,$C15,'Monthly Inputs'!$A$6:$A$1805,$B$5)</x:f>
        <x:v>1100736</x:v>
      </x:c>
      <x:c r="F15" s="14" t="n">
        <x:f>SUMIFS('Monthly Inputs'!$H$6:$H$1805,'Monthly Inputs'!$D$6:$D$1805,$B15,'Monthly Inputs'!$E$6:$E$1805,$C15,'Monthly Inputs'!$A$6:$A$1805,$B$5)/D15</x:f>
        <x:v>0.52369160640427</x:v>
      </x:c>
      <x:c r="G15" s="10" t="n">
        <x:f>SUMIFS('Monthly Inputs'!$I$6:$I$1805,'Monthly Inputs'!$D$6:$D$1805,$B15,'Monthly Inputs'!$E$6:$E$1805,$C15,'Monthly Inputs'!$A$6:$A$1805,$B$5)</x:f>
        <x:v>4645277.03</x:v>
      </x:c>
      <x:c r="H15" s="14" t="n">
        <x:f>D15/G15</x:f>
        <x:v>1.0221648309315148</x:v>
      </x:c>
      <x:c r="I15" s="14" t="n">
        <x:f>IF($B$5=2023,"n.a.",D15/SUMIFS('Monthly Inputs'!$F$6:$F$1805,'Monthly Inputs'!$D$6:$D$1805,$B15,'Monthly Inputs'!$E$6:$E$1805,$C15,'Monthly Inputs'!$A$6:$A$1805,$B$5-1)-1)</x:f>
        <x:v>0.13820112452594424</x:v>
      </x:c>
      <x:c r="J15" s="2"/>
      <x:c r="K15" s="2"/>
    </x:row>
    <x:row r="16" ht="23" customHeight="1">
      <x:c r="A16" s="2" t="str">
        <x:v>Fictional Account 03-3</x:v>
      </x:c>
      <x:c r="B16" s="2" t="str">
        <x:v>Petrol</x:v>
      </x:c>
      <x:c r="C16" s="2" t="str">
        <x:v>QLD</x:v>
      </x:c>
      <x:c r="D16" s="10" t="n">
        <x:f>SUMIFS('Monthly Inputs'!$F$6:$F$1805,'Monthly Inputs'!$D$6:$D$1805,$B16,'Monthly Inputs'!$E$6:$E$1805,$C16,'Monthly Inputs'!$A$6:$A$1805,$B$5)</x:f>
        <x:v>4886010.639999999</x:v>
      </x:c>
      <x:c r="E16" s="12" t="n">
        <x:f>SUMIFS('Monthly Inputs'!$G$6:$G$1805,'Monthly Inputs'!$D$6:$D$1805,$B16,'Monthly Inputs'!$E$6:$E$1805,$C16,'Monthly Inputs'!$A$6:$A$1805,$B$5)</x:f>
        <x:v>1133532</x:v>
      </x:c>
      <x:c r="F16" s="14" t="n">
        <x:f>SUMIFS('Monthly Inputs'!$H$6:$H$1805,'Monthly Inputs'!$D$6:$D$1805,$B16,'Monthly Inputs'!$E$6:$E$1805,$C16,'Monthly Inputs'!$A$6:$A$1805,$B$5)/D16</x:f>
        <x:v>0.5236798276804409</x:v>
      </x:c>
      <x:c r="G16" s="10" t="n">
        <x:f>SUMIFS('Monthly Inputs'!$I$6:$I$1805,'Monthly Inputs'!$D$6:$D$1805,$B16,'Monthly Inputs'!$E$6:$E$1805,$C16,'Monthly Inputs'!$A$6:$A$1805,$B$5)</x:f>
        <x:v>4788960.609999999</x:v>
      </x:c>
      <x:c r="H16" s="14" t="n">
        <x:f>D16/G16</x:f>
        <x:v>1.020265364011837</x:v>
      </x:c>
      <x:c r="I16" s="14" t="n">
        <x:f>IF($B$5=2023,"n.a.",D16/SUMIFS('Monthly Inputs'!$F$6:$F$1805,'Monthly Inputs'!$D$6:$D$1805,$B16,'Monthly Inputs'!$E$6:$E$1805,$C16,'Monthly Inputs'!$A$6:$A$1805,$B$5-1)-1)</x:f>
        <x:v>0.1423047711354941</x:v>
      </x:c>
      <x:c r="J16" s="2"/>
      <x:c r="K16" s="2"/>
    </x:row>
    <x:row r="17" ht="23" customHeight="1">
      <x:c r="A17" s="2" t="str">
        <x:v>Fictional Account 04-1</x:v>
      </x:c>
      <x:c r="B17" s="2" t="str">
        <x:v>Hospitality</x:v>
      </x:c>
      <x:c r="C17" s="2" t="str">
        <x:v>NSW</x:v>
      </x:c>
      <x:c r="D17" s="10" t="n">
        <x:f>SUMIFS('Monthly Inputs'!$F$6:$F$1805,'Monthly Inputs'!$D$6:$D$1805,$B17,'Monthly Inputs'!$E$6:$E$1805,$C17,'Monthly Inputs'!$A$6:$A$1805,$B$5)</x:f>
        <x:v>1747831.8800000004</x:v>
      </x:c>
      <x:c r="E17" s="12" t="n">
        <x:f>SUMIFS('Monthly Inputs'!$G$6:$G$1805,'Monthly Inputs'!$D$6:$D$1805,$B17,'Monthly Inputs'!$E$6:$E$1805,$C17,'Monthly Inputs'!$A$6:$A$1805,$B$5)</x:f>
        <x:v>493996</x:v>
      </x:c>
      <x:c r="F17" s="14" t="n">
        <x:f>SUMIFS('Monthly Inputs'!$H$6:$H$1805,'Monthly Inputs'!$D$6:$D$1805,$B17,'Monthly Inputs'!$E$6:$E$1805,$C17,'Monthly Inputs'!$A$6:$A$1805,$B$5)/D17</x:f>
        <x:v>0.4204128202536276</x:v>
      </x:c>
      <x:c r="G17" s="10" t="n">
        <x:f>SUMIFS('Monthly Inputs'!$I$6:$I$1805,'Monthly Inputs'!$D$6:$D$1805,$B17,'Monthly Inputs'!$E$6:$E$1805,$C17,'Monthly Inputs'!$A$6:$A$1805,$B$5)</x:f>
        <x:v>1700638.7600000002</x:v>
      </x:c>
      <x:c r="H17" s="14" t="n">
        <x:f>D17/G17</x:f>
        <x:v>1.027750231918741</x:v>
      </x:c>
      <x:c r="I17" s="14" t="n">
        <x:f>IF($B$5=2023,"n.a.",D17/SUMIFS('Monthly Inputs'!$F$6:$F$1805,'Monthly Inputs'!$D$6:$D$1805,$B17,'Monthly Inputs'!$E$6:$E$1805,$C17,'Monthly Inputs'!$A$6:$A$1805,$B$5-1)-1)</x:f>
        <x:v>0.13989221751968617</x:v>
      </x:c>
      <x:c r="J17" s="2"/>
      <x:c r="K17" s="2"/>
    </x:row>
    <x:row r="18" ht="23" customHeight="1">
      <x:c r="A18" s="2" t="str">
        <x:v>Fictional Account 04-2</x:v>
      </x:c>
      <x:c r="B18" s="2" t="str">
        <x:v>Hospitality</x:v>
      </x:c>
      <x:c r="C18" s="2" t="str">
        <x:v>VIC</x:v>
      </x:c>
      <x:c r="D18" s="10" t="n">
        <x:f>SUMIFS('Monthly Inputs'!$F$6:$F$1805,'Monthly Inputs'!$D$6:$D$1805,$B18,'Monthly Inputs'!$E$6:$E$1805,$C18,'Monthly Inputs'!$A$6:$A$1805,$B$5)</x:f>
        <x:v>1629439.9699999997</x:v>
      </x:c>
      <x:c r="E18" s="12" t="n">
        <x:f>SUMIFS('Monthly Inputs'!$G$6:$G$1805,'Monthly Inputs'!$D$6:$D$1805,$B18,'Monthly Inputs'!$E$6:$E$1805,$C18,'Monthly Inputs'!$A$6:$A$1805,$B$5)</x:f>
        <x:v>460223</x:v>
      </x:c>
      <x:c r="F18" s="14" t="n">
        <x:f>SUMIFS('Monthly Inputs'!$H$6:$H$1805,'Monthly Inputs'!$D$6:$D$1805,$B18,'Monthly Inputs'!$E$6:$E$1805,$C18,'Monthly Inputs'!$A$6:$A$1805,$B$5)/D18</x:f>
        <x:v>0.4204443014859884</x:v>
      </x:c>
      <x:c r="G18" s="10" t="n">
        <x:f>SUMIFS('Monthly Inputs'!$I$6:$I$1805,'Monthly Inputs'!$D$6:$D$1805,$B18,'Monthly Inputs'!$E$6:$E$1805,$C18,'Monthly Inputs'!$A$6:$A$1805,$B$5)</x:f>
        <x:v>1585850.1999999997</x:v>
      </x:c>
      <x:c r="H18" s="14" t="n">
        <x:f>D18/G18</x:f>
        <x:v>1.0274866882130482</x:v>
      </x:c>
      <x:c r="I18" s="14" t="n">
        <x:f>IF($B$5=2023,"n.a.",D18/SUMIFS('Monthly Inputs'!$F$6:$F$1805,'Monthly Inputs'!$D$6:$D$1805,$B18,'Monthly Inputs'!$E$6:$E$1805,$C18,'Monthly Inputs'!$A$6:$A$1805,$B$5-1)-1)</x:f>
        <x:v>0.13773910726537886</x:v>
      </x:c>
      <x:c r="J18" s="2"/>
      <x:c r="K18" s="2"/>
    </x:row>
    <x:row r="19" ht="23" customHeight="1">
      <x:c r="A19" s="2" t="str">
        <x:v>Fictional Account 04-3</x:v>
      </x:c>
      <x:c r="B19" s="2" t="str">
        <x:v>Hospitality</x:v>
      </x:c>
      <x:c r="C19" s="2" t="str">
        <x:v>QLD</x:v>
      </x:c>
      <x:c r="D19" s="10" t="n">
        <x:f>SUMIFS('Monthly Inputs'!$F$6:$F$1805,'Monthly Inputs'!$D$6:$D$1805,$B19,'Monthly Inputs'!$E$6:$E$1805,$C19,'Monthly Inputs'!$A$6:$A$1805,$B$5)</x:f>
        <x:v>1678338.1699999997</x:v>
      </x:c>
      <x:c r="E19" s="12" t="n">
        <x:f>SUMIFS('Monthly Inputs'!$G$6:$G$1805,'Monthly Inputs'!$D$6:$D$1805,$B19,'Monthly Inputs'!$E$6:$E$1805,$C19,'Monthly Inputs'!$A$6:$A$1805,$B$5)</x:f>
        <x:v>474608</x:v>
      </x:c>
      <x:c r="F19" s="14" t="n">
        <x:f>SUMIFS('Monthly Inputs'!$H$6:$H$1805,'Monthly Inputs'!$D$6:$D$1805,$B19,'Monthly Inputs'!$E$6:$E$1805,$C19,'Monthly Inputs'!$A$6:$A$1805,$B$5)/D19</x:f>
        <x:v>0.42083004046794714</x:v>
      </x:c>
      <x:c r="G19" s="10" t="n">
        <x:f>SUMIFS('Monthly Inputs'!$I$6:$I$1805,'Monthly Inputs'!$D$6:$D$1805,$B19,'Monthly Inputs'!$E$6:$E$1805,$C19,'Monthly Inputs'!$A$6:$A$1805,$B$5)</x:f>
        <x:v>1634972.0199999998</x:v>
      </x:c>
      <x:c r="H19" s="14" t="n">
        <x:f>D19/G19</x:f>
        <x:v>1.0265240930545099</x:v>
      </x:c>
      <x:c r="I19" s="14" t="n">
        <x:f>IF($B$5=2023,"n.a.",D19/SUMIFS('Monthly Inputs'!$F$6:$F$1805,'Monthly Inputs'!$D$6:$D$1805,$B19,'Monthly Inputs'!$E$6:$E$1805,$C19,'Monthly Inputs'!$A$6:$A$1805,$B$5-1)-1)</x:f>
        <x:v>0.13889052992701845</x:v>
      </x:c>
      <x:c r="J19" s="2"/>
      <x:c r="K19" s="2"/>
    </x:row>
    <x:row r="20" ht="23" customHeight="1">
      <x:c r="A20" s="2" t="str">
        <x:v>Fictional Account 05-1</x:v>
      </x:c>
      <x:c r="B20" s="2" t="str">
        <x:v>Independent retail</x:v>
      </x:c>
      <x:c r="C20" s="2" t="str">
        <x:v>NSW</x:v>
      </x:c>
      <x:c r="D20" s="10" t="n">
        <x:f>SUMIFS('Monthly Inputs'!$F$6:$F$1805,'Monthly Inputs'!$D$6:$D$1805,$B20,'Monthly Inputs'!$E$6:$E$1805,$C20,'Monthly Inputs'!$A$6:$A$1805,$B$5)</x:f>
        <x:v>4690006.93</x:v>
      </x:c>
      <x:c r="E20" s="12" t="n">
        <x:f>SUMIFS('Monthly Inputs'!$G$6:$G$1805,'Monthly Inputs'!$D$6:$D$1805,$B20,'Monthly Inputs'!$E$6:$E$1805,$C20,'Monthly Inputs'!$A$6:$A$1805,$B$5)</x:f>
        <x:v>1185712</x:v>
      </x:c>
      <x:c r="F20" s="14" t="n">
        <x:f>SUMIFS('Monthly Inputs'!$H$6:$H$1805,'Monthly Inputs'!$D$6:$D$1805,$B20,'Monthly Inputs'!$E$6:$E$1805,$C20,'Monthly Inputs'!$A$6:$A$1805,$B$5)/D20</x:f>
        <x:v>0.48221056892979924</x:v>
      </x:c>
      <x:c r="G20" s="10" t="n">
        <x:f>SUMIFS('Monthly Inputs'!$I$6:$I$1805,'Monthly Inputs'!$D$6:$D$1805,$B20,'Monthly Inputs'!$E$6:$E$1805,$C20,'Monthly Inputs'!$A$6:$A$1805,$B$5)</x:f>
        <x:v>4617610.049999998</x:v>
      </x:c>
      <x:c r="H20" s="14" t="n">
        <x:f>D20/G20</x:f>
        <x:v>1.0156784308800615</x:v>
      </x:c>
      <x:c r="I20" s="14" t="n">
        <x:f>IF($B$5=2023,"n.a.",D20/SUMIFS('Monthly Inputs'!$F$6:$F$1805,'Monthly Inputs'!$D$6:$D$1805,$B20,'Monthly Inputs'!$E$6:$E$1805,$C20,'Monthly Inputs'!$A$6:$A$1805,$B$5-1)-1)</x:f>
        <x:v>0.1378773452572737</x:v>
      </x:c>
      <x:c r="J20" s="2"/>
      <x:c r="K20" s="2"/>
    </x:row>
    <x:row r="21" ht="23" customHeight="1">
      <x:c r="A21" s="2" t="str">
        <x:v>Fictional Account 05-2</x:v>
      </x:c>
      <x:c r="B21" s="2" t="str">
        <x:v>Independent retail</x:v>
      </x:c>
      <x:c r="C21" s="2" t="str">
        <x:v>VIC</x:v>
      </x:c>
      <x:c r="D21" s="10" t="n">
        <x:f>SUMIFS('Monthly Inputs'!$F$6:$F$1805,'Monthly Inputs'!$D$6:$D$1805,$B21,'Monthly Inputs'!$E$6:$E$1805,$C21,'Monthly Inputs'!$A$6:$A$1805,$B$5)</x:f>
        <x:v>4375748.840000001</x:v>
      </x:c>
      <x:c r="E21" s="12" t="n">
        <x:f>SUMIFS('Monthly Inputs'!$G$6:$G$1805,'Monthly Inputs'!$D$6:$D$1805,$B21,'Monthly Inputs'!$E$6:$E$1805,$C21,'Monthly Inputs'!$A$6:$A$1805,$B$5)</x:f>
        <x:v>1104645</x:v>
      </x:c>
      <x:c r="F21" s="14" t="n">
        <x:f>SUMIFS('Monthly Inputs'!$H$6:$H$1805,'Monthly Inputs'!$D$6:$D$1805,$B21,'Monthly Inputs'!$E$6:$E$1805,$C21,'Monthly Inputs'!$A$6:$A$1805,$B$5)/D21</x:f>
        <x:v>0.48234296738109855</x:v>
      </x:c>
      <x:c r="G21" s="10" t="n">
        <x:f>SUMIFS('Monthly Inputs'!$I$6:$I$1805,'Monthly Inputs'!$D$6:$D$1805,$B21,'Monthly Inputs'!$E$6:$E$1805,$C21,'Monthly Inputs'!$A$6:$A$1805,$B$5)</x:f>
        <x:v>4306449.75</x:v>
      </x:c>
      <x:c r="H21" s="14" t="n">
        <x:f>D21/G21</x:f>
        <x:v>1.0160919304817155</x:v>
      </x:c>
      <x:c r="I21" s="14" t="n">
        <x:f>IF($B$5=2023,"n.a.",D21/SUMIFS('Monthly Inputs'!$F$6:$F$1805,'Monthly Inputs'!$D$6:$D$1805,$B21,'Monthly Inputs'!$E$6:$E$1805,$C21,'Monthly Inputs'!$A$6:$A$1805,$B$5-1)-1)</x:f>
        <x:v>0.13623835556618902</x:v>
      </x:c>
      <x:c r="J21" s="2"/>
      <x:c r="K21" s="2"/>
    </x:row>
    <x:row r="22" ht="23" customHeight="1">
      <x:c r="A22" s="2" t="str">
        <x:v>Fictional Account 05-3</x:v>
      </x:c>
      <x:c r="B22" s="2" t="str">
        <x:v>Independent retail</x:v>
      </x:c>
      <x:c r="C22" s="2" t="str">
        <x:v>QLD</x:v>
      </x:c>
      <x:c r="D22" s="10" t="n">
        <x:f>SUMIFS('Monthly Inputs'!$F$6:$F$1805,'Monthly Inputs'!$D$6:$D$1805,$B22,'Monthly Inputs'!$E$6:$E$1805,$C22,'Monthly Inputs'!$A$6:$A$1805,$B$5)</x:f>
        <x:v>4514043.229999999</x:v>
      </x:c>
      <x:c r="E22" s="12" t="n">
        <x:f>SUMIFS('Monthly Inputs'!$G$6:$G$1805,'Monthly Inputs'!$D$6:$D$1805,$B22,'Monthly Inputs'!$E$6:$E$1805,$C22,'Monthly Inputs'!$A$6:$A$1805,$B$5)</x:f>
        <x:v>1137735</x:v>
      </x:c>
      <x:c r="F22" s="14" t="n">
        <x:f>SUMIFS('Monthly Inputs'!$H$6:$H$1805,'Monthly Inputs'!$D$6:$D$1805,$B22,'Monthly Inputs'!$E$6:$E$1805,$C22,'Monthly Inputs'!$A$6:$A$1805,$B$5)/D22</x:f>
        <x:v>0.4823419158969821</x:v>
      </x:c>
      <x:c r="G22" s="10" t="n">
        <x:f>SUMIFS('Monthly Inputs'!$I$6:$I$1805,'Monthly Inputs'!$D$6:$D$1805,$B22,'Monthly Inputs'!$E$6:$E$1805,$C22,'Monthly Inputs'!$A$6:$A$1805,$B$5)</x:f>
        <x:v>4439906.4399999995</x:v>
      </x:c>
      <x:c r="H22" s="14" t="n">
        <x:f>D22/G22</x:f>
        <x:v>1.0166978270830407</x:v>
      </x:c>
      <x:c r="I22" s="14" t="n">
        <x:f>IF($B$5=2023,"n.a.",D22/SUMIFS('Monthly Inputs'!$F$6:$F$1805,'Monthly Inputs'!$D$6:$D$1805,$B22,'Monthly Inputs'!$E$6:$E$1805,$C22,'Monthly Inputs'!$A$6:$A$1805,$B$5-1)-1)</x:f>
        <x:v>0.13797936767367647</x:v>
      </x:c>
      <x:c r="J22" s="2"/>
      <x:c r="K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</x:sheetData>
  <x:conditionalFormatting sqref="H8:H22">
    <x:cfRule type="cellIs" dxfId="2" priority="1" operator="lessThan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2B3A"/>
  </x:sheetPr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Post-launch review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SYNTHETIC. FY2024 launches. Complete-follow-up trial cohorts only.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9" customHeight="1">
      <x:c r="A7" s="9" t="str">
        <x:v>Product</x:v>
      </x:c>
      <x:c r="B7" s="9" t="str">
        <x:v>Revenue</x:v>
      </x:c>
      <x:c r="C7" s="9" t="str">
        <x:v>Velocity</x:v>
      </x:c>
      <x:c r="D7" s="9" t="str">
        <x:v>Distribution</x:v>
      </x:c>
      <x:c r="E7" s="9" t="str">
        <x:v>Attainment</x:v>
      </x:c>
      <x:c r="F7" s="9" t="str">
        <x:v>Trials</x:v>
      </x:c>
      <x:c r="G7" s="9" t="str">
        <x:v>Repeat rate</x:v>
      </x:c>
      <x:c r="H7" s="9" t="str">
        <x:v>GP margin</x:v>
      </x:c>
      <x:c r="I7" s="2"/>
      <x:c r="J7" s="2"/>
    </x:row>
    <x:row r="8" ht="23" customHeight="1">
      <x:c r="A8" s="2" t="str">
        <x:v>Night Current 500ml V6</x:v>
      </x:c>
      <x:c r="B8" s="10" t="n">
        <x:f>'Launch Inputs'!C6</x:f>
        <x:v>2658944.64</x:v>
      </x:c>
      <x:c r="C8" s="15" t="n">
        <x:f>'Launch Inputs'!F6</x:f>
        <x:v>2.3538418079096046</x:v>
      </x:c>
      <x:c r="D8" s="14" t="n">
        <x:f>'Launch Inputs'!G6</x:f>
        <x:v>0.5029838022165388</x:v>
      </x:c>
      <x:c r="E8" s="14" t="n">
        <x:f>'Launch Inputs'!H6</x:f>
        <x:v>1.0487887019273114</x:v>
      </x:c>
      <x:c r="F8" s="12" t="n">
        <x:f>'Launch Inputs'!I6</x:f>
        <x:v>6377</x:v>
      </x:c>
      <x:c r="G8" s="14" t="n">
        <x:f>'Launch Inputs'!J6/F8</x:f>
        <x:v>0.392504312372589</x:v>
      </x:c>
      <x:c r="H8" s="14" t="n">
        <x:f>'Launch Inputs'!E6/B8</x:f>
        <x:v>0.6032609539399812</x:v>
      </x:c>
      <x:c r="I8" s="2"/>
      <x:c r="J8" s="2"/>
    </x:row>
    <x:row r="9" ht="23" customHeight="1">
      <x:c r="A9" s="2" t="str">
        <x:v>Urban Bean 1000ml V4</x:v>
      </x:c>
      <x:c r="B9" s="10" t="n">
        <x:f>'Launch Inputs'!C7</x:f>
        <x:v>1235390.03</x:v>
      </x:c>
      <x:c r="C9" s="15" t="n">
        <x:f>'Launch Inputs'!F7</x:f>
        <x:v>1.097377309755613</x:v>
      </x:c>
      <x:c r="D9" s="14" t="n">
        <x:f>'Launch Inputs'!G7</x:f>
        <x:v>0.39642407057340895</x:v>
      </x:c>
      <x:c r="E9" s="14" t="n">
        <x:f>'Launch Inputs'!H7</x:f>
        <x:v>0.7430156178764817</x:v>
      </x:c>
      <x:c r="F9" s="12" t="n">
        <x:f>'Launch Inputs'!I7</x:f>
        <x:v>1223</x:v>
      </x:c>
      <x:c r="G9" s="14" t="n">
        <x:f>'Launch Inputs'!J7/F9</x:f>
        <x:v>0.21013900245298447</x:v>
      </x:c>
      <x:c r="H9" s="14" t="n">
        <x:f>'Launch Inputs'!E7/B9</x:f>
        <x:v>0.41522801507472096</x:v>
      </x:c>
      <x:c r="I9" s="2"/>
      <x:c r="J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</x:sheetData>
  <x:pageMargins left="0.7" right="0.7" top="0.75" bottom="0.75" header="0.3" footer="0.3"/>
  <x:drawing xmlns:r="http://schemas.openxmlformats.org/officeDocument/2006/relationships" r:id="Rd808fa7990784154"/>
</x:worksheet>
</file>

<file path=xl/worksheets/sheet5.xml><?xml version="1.0" encoding="utf-8"?>
<x:worksheet xmlns:x="http://schemas.openxmlformats.org/spreadsheetml/2006/main">
  <x:sheetPr>
    <x:tabColor rgb="FF6485A0"/>
  </x:sheetPr>
  <x:sheetViews>
    <x:sheetView showGridLines="0" workbookViewId="0"/>
  </x:sheetViews>
  <x:sheetFormatPr defaultRowHeight="15"/>
  <x:cols>
    <x:col min="1" max="1" width="37" hidden="0" customWidth="1"/>
    <x:col min="2" max="2" width="3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Distribution investment scenario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SIMULATION. FY2024 baseline. No forecast of real CCEP performance.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9" customHeight="1">
      <x:c r="A6" s="9" t="str">
        <x:v>Editable assumption</x:v>
      </x:c>
      <x:c r="B6" s="9" t="str">
        <x:v>Value</x:v>
      </x:c>
      <x:c r="C6" s="2"/>
      <x:c r="D6" s="2"/>
      <x:c r="E6" s="2"/>
      <x:c r="F6" s="2"/>
      <x:c r="G6" s="2"/>
      <x:c r="H6" s="2"/>
      <x:c r="I6" s="2"/>
      <x:c r="J6" s="2"/>
    </x:row>
    <x:row r="7" ht="23" customHeight="1">
      <x:c r="A7" s="2" t="str">
        <x:v>SKU key</x:v>
      </x:c>
      <x:c r="B7" s="16" t="n">
        <x:v>23</x:v>
      </x:c>
      <x:c r="C7" s="2"/>
      <x:c r="D7" s="18" t="str">
        <x:v>Change the amber inputs. The same build recomputes units, revenue and contribution. Assumes constant price/cost and additional distribution. Velocity retention tests demand dilution. No cannibalisation, capacity or supply constraint model.</x:v>
      </x:c>
      <x:c r="E7" s="18"/>
      <x:c r="F7" s="18"/>
      <x:c r="G7" s="18"/>
      <x:c r="H7" s="18"/>
      <x:c r="I7" s="18"/>
      <x:c r="J7" s="18"/>
    </x:row>
    <x:row r="8" ht="23" customHeight="1">
      <x:c r="A8" s="2" t="str">
        <x:v>Target distribution</x:v>
      </x:c>
      <x:c r="B8" s="19" t="n">
        <x:v>0.7</x:v>
      </x:c>
      <x:c r="C8" s="2"/>
      <x:c r="D8" s="18"/>
      <x:c r="E8" s="18"/>
      <x:c r="F8" s="18"/>
      <x:c r="G8" s="18"/>
      <x:c r="H8" s="18"/>
      <x:c r="I8" s="18"/>
      <x:c r="J8" s="18"/>
    </x:row>
    <x:row r="9" ht="23" customHeight="1">
      <x:c r="A9" s="2" t="str">
        <x:v>Velocity retention</x:v>
      </x:c>
      <x:c r="B9" s="19" t="n">
        <x:v>1</x:v>
      </x:c>
      <x:c r="C9" s="2"/>
      <x:c r="D9" s="18"/>
      <x:c r="E9" s="18"/>
      <x:c r="F9" s="18"/>
      <x:c r="G9" s="18"/>
      <x:c r="H9" s="18"/>
      <x:c r="I9" s="18"/>
      <x:c r="J9" s="18"/>
    </x:row>
    <x:row r="10" ht="23" customHeight="1">
      <x:c r="A10" s="2" t="str">
        <x:v>Cost per extra SKU-store-day</x:v>
      </x:c>
      <x:c r="B10" s="20" t="n">
        <x:v>0.1</x:v>
      </x:c>
      <x:c r="C10" s="2"/>
      <x:c r="D10" s="18"/>
      <x:c r="E10" s="18"/>
      <x:c r="F10" s="18"/>
      <x:c r="G10" s="18"/>
      <x:c r="H10" s="18"/>
      <x:c r="I10" s="18"/>
      <x:c r="J10" s="18"/>
    </x:row>
    <x:row r="11" ht="23" customHeight="1">
      <x:c r="A11" s="2"/>
      <x:c r="B11" s="2"/>
      <x:c r="C11" s="2"/>
      <x:c r="D11" s="18"/>
      <x:c r="E11" s="18"/>
      <x:c r="F11" s="18"/>
      <x:c r="G11" s="18"/>
      <x:c r="H11" s="18"/>
      <x:c r="I11" s="18"/>
      <x:c r="J11" s="18"/>
    </x:row>
    <x:row r="12" ht="23" customHeight="1">
      <x:c r="A12" s="2"/>
      <x:c r="B12" s="2"/>
      <x:c r="C12" s="2"/>
      <x:c r="D12" s="18"/>
      <x:c r="E12" s="18"/>
      <x:c r="F12" s="18"/>
      <x:c r="G12" s="18"/>
      <x:c r="H12" s="18"/>
      <x:c r="I12" s="18"/>
      <x:c r="J12" s="18"/>
    </x:row>
    <x:row r="13" ht="29" customHeight="1">
      <x:c r="A13" s="9" t="str">
        <x:v>FY2024 baseline</x:v>
      </x:c>
      <x:c r="B13" s="9" t="str">
        <x:v>Value</x:v>
      </x:c>
      <x:c r="C13" s="2"/>
      <x:c r="D13" s="18"/>
      <x:c r="E13" s="18"/>
      <x:c r="F13" s="18"/>
      <x:c r="G13" s="18"/>
      <x:c r="H13" s="18"/>
      <x:c r="I13" s="18"/>
      <x:c r="J13" s="18"/>
    </x:row>
    <x:row r="14" ht="23" customHeight="1">
      <x:c r="A14" s="2" t="str">
        <x:v>Product</x:v>
      </x:c>
      <x:c r="B14" s="2" t="str">
        <x:f>_xlfn.XLOOKUP($B$7,'SKU Inputs'!$A$6:$A$29,'SKU Inputs'!$B$6:$B$29,"Missing SKU",0)</x:f>
        <x:v>Dawn Roast 600ml V3</x:v>
      </x:c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 t="str">
        <x:v>Revenue</x:v>
      </x:c>
      <x:c r="B15" s="10" t="n">
        <x:f>_xlfn.XLOOKUP($B$7,'SKU Inputs'!$A$6:$A$29,'SKU Inputs'!$C$6:$C$29,"Missing SKU",0)</x:f>
        <x:v>1517034.57</x:v>
      </x:c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 t="str">
        <x:v>Units</x:v>
      </x:c>
      <x:c r="B16" s="12" t="n">
        <x:f>_xlfn.XLOOKUP($B$7,'SKU Inputs'!$A$6:$A$29,'SKU Inputs'!$D$6:$D$29,"Missing SKU",0)</x:f>
        <x:v>241772</x:v>
      </x:c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 t="str">
        <x:v>Gross profit</x:v>
      </x:c>
      <x:c r="B17" s="10" t="n">
        <x:f>_xlfn.XLOOKUP($B$7,'SKU Inputs'!$A$6:$A$29,'SKU Inputs'!$E$6:$E$29,"Missing SKU",0)</x:f>
        <x:v>569288.33</x:v>
      </x:c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 t="str">
        <x:v>Active SKU-store-days</x:v>
      </x:c>
      <x:c r="B18" s="12" t="n">
        <x:f>_xlfn.XLOOKUP($B$7,'SKU Inputs'!$A$6:$A$29,'SKU Inputs'!$F$6:$F$29,"Missing SKU",0)</x:f>
        <x:v>189397</x:v>
      </x:c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 t="str">
        <x:v>Eligible SKU-store-days</x:v>
      </x:c>
      <x:c r="B19" s="12" t="n">
        <x:f>_xlfn.XLOOKUP($B$7,'SKU Inputs'!$A$6:$A$29,'SKU Inputs'!$G$6:$G$29,"Missing SKU",0)</x:f>
        <x:v>505080</x:v>
      </x:c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 t="str">
        <x:v>Distribution</x:v>
      </x:c>
      <x:c r="B20" s="14" t="n">
        <x:f>B18/B19</x:f>
        <x:v>0.374984160925002</x:v>
      </x:c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 t="str">
        <x:v>Velocity per active store-day</x:v>
      </x:c>
      <x:c r="B21" s="15" t="n">
        <x:f>B16/B18</x:f>
        <x:v>1.276535531185816</x:v>
      </x:c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 t="str">
        <x:v>GP per unit</x:v>
      </x:c>
      <x:c r="B22" s="21" t="n">
        <x:f>B17/B16</x:f>
        <x:v>2.3546495458531176</x:v>
      </x:c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9" customHeight="1">
      <x:c r="A25" s="9" t="str">
        <x:v>Scenario build</x:v>
      </x:c>
      <x:c r="B25" s="9" t="str">
        <x:v>Value</x:v>
      </x:c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 t="str">
        <x:v>Extra active SKU-store-days</x:v>
      </x:c>
      <x:c r="B26" s="12" t="n">
        <x:f>B19*MAX(0,B8-B20)</x:f>
        <x:v>164158.99999999997</x:v>
      </x:c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 t="str">
        <x:v>Incremental units</x:v>
      </x:c>
      <x:c r="B27" s="12" t="n">
        <x:f>B26*B21*B9</x:f>
        <x:v>209554.79626393234</x:v>
      </x:c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 t="str">
        <x:v>Net price per unit</x:v>
      </x:c>
      <x:c r="B28" s="21" t="n">
        <x:f>B15/B16</x:f>
        <x:v>6.274649545853118</x:v>
      </x:c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A29" s="2" t="str">
        <x:v>Incremental revenue</x:v>
      </x:c>
      <x:c r="B29" s="10" t="n">
        <x:f>B27*B28</x:f>
        <x:v>1314882.9072088257</x:v>
      </x:c>
      <x:c r="C29" s="2"/>
      <x:c r="D29" s="2"/>
      <x:c r="E29" s="2"/>
      <x:c r="F29" s="2"/>
      <x:c r="G29" s="2"/>
      <x:c r="H29" s="2"/>
      <x:c r="I29" s="2"/>
      <x:c r="J29" s="2"/>
    </x:row>
    <x:row r="30" ht="23" customHeight="1">
      <x:c r="A30" s="2" t="str">
        <x:v>Incremental gross profit</x:v>
      </x:c>
      <x:c r="B30" s="10" t="n">
        <x:f>B27*B22</x:f>
        <x:v>493428.10585421085</x:v>
      </x:c>
      <x:c r="C30" s="2"/>
      <x:c r="D30" s="2"/>
      <x:c r="E30" s="2"/>
      <x:c r="F30" s="2"/>
      <x:c r="G30" s="2"/>
      <x:c r="H30" s="2"/>
      <x:c r="I30" s="2"/>
      <x:c r="J30" s="2"/>
    </x:row>
    <x:row r="31" ht="23" customHeight="1">
      <x:c r="A31" s="2" t="str">
        <x:v>Incremental distribution cost</x:v>
      </x:c>
      <x:c r="B31" s="10" t="n">
        <x:f>B26*B10</x:f>
        <x:v>16415.899999999998</x:v>
      </x:c>
      <x:c r="C31" s="2"/>
      <x:c r="D31" s="2"/>
      <x:c r="E31" s="2"/>
      <x:c r="F31" s="2"/>
      <x:c r="G31" s="2"/>
      <x:c r="H31" s="2"/>
      <x:c r="I31" s="2"/>
      <x:c r="J31" s="2"/>
    </x:row>
    <x:row r="32" ht="23" customHeight="1">
      <x:c r="A32" s="2" t="str">
        <x:v>Contribution after added cost</x:v>
      </x:c>
      <x:c r="B32" s="10" t="n">
        <x:f>B30-B31</x:f>
        <x:v>477012.2058542108</x:v>
      </x:c>
      <x:c r="C32" s="2"/>
      <x:c r="D32" s="2"/>
      <x:c r="E32" s="2"/>
      <x:c r="F32" s="2"/>
      <x:c r="G32" s="2"/>
      <x:c r="H32" s="2"/>
      <x:c r="I32" s="2"/>
      <x:c r="J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</x:sheetData>
  <x:mergeCells>
    <x:mergeCell ref="D7:J13"/>
  </x:mergeCells>
  <x:conditionalFormatting sqref="B32:B32">
    <x:cfRule type="cellIs" dxfId="3" priority="1" operator="lessThan">
      <x:formula>0</x:formula>
    </x:cfRule>
  </x:conditionalFormatting>
  <x:dataValidations count="3">
    <x:dataValidation type="whole" operator="between" sqref="B7">
      <x:formula1>1</x:formula1>
      <x:formula2>24</x:formula2>
    </x:dataValidation>
    <x:dataValidation type="decimal" operator="between" sqref="B8:B9">
      <x:formula1>0</x:formula1>
      <x:formula2>1</x:formula2>
    </x:dataValidation>
    <x:dataValidation type="decimal" operator="greaterThanOrEqual" sqref="B10">
      <x:formula1>0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2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Monthly commercial inputs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 t="str">
        <x:v>SYNTHETIC. Monthly category/channel/region totals, AUD ex GST. Generator seed 20261006.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6"/>
      <x:c r="K4" s="6"/>
      <x:c r="L4" s="6"/>
      <x:c r="M4" s="6"/>
      <x:c r="N4" s="6"/>
      <x:c r="O4" s="6"/>
    </x:row>
    <x:row r="5" ht="29" customHeight="1">
      <x:c r="A5" s="9" t="str">
        <x:v>Year</x:v>
      </x:c>
      <x:c r="B5" s="9" t="str">
        <x:v>YearMonth</x:v>
      </x:c>
      <x:c r="C5" s="9" t="str">
        <x:v>Category</x:v>
      </x:c>
      <x:c r="D5" s="9" t="str">
        <x:v>Channel</x:v>
      </x:c>
      <x:c r="E5" s="9" t="str">
        <x:v>Region</x:v>
      </x:c>
      <x:c r="F5" s="9" t="str">
        <x:v>Revenue</x:v>
      </x:c>
      <x:c r="G5" s="9" t="str">
        <x:v>Units</x:v>
      </x:c>
      <x:c r="H5" s="9" t="str">
        <x:v>GrossProfit</x:v>
      </x:c>
      <x:c r="I5" s="9" t="str">
        <x:v>TargetRevenue</x:v>
      </x:c>
    </x:row>
    <x:row r="6" ht="23" customHeight="1">
      <x:c r="A6" s="2" t="n">
        <x:v>2023</x:v>
      </x:c>
      <x:c r="B6" s="2" t="str">
        <x:v>2023-01</x:v>
      </x:c>
      <x:c r="C6" s="2" t="str">
        <x:v>Coffee</x:v>
      </x:c>
      <x:c r="D6" s="2" t="str">
        <x:v>Convenience</x:v>
      </x:c>
      <x:c r="E6" s="2" t="str">
        <x:v>NSW</x:v>
      </x:c>
      <x:c r="F6" s="10" t="n">
        <x:v>33234.22</x:v>
      </x:c>
      <x:c r="G6" s="12" t="n">
        <x:v>6370</x:v>
      </x:c>
      <x:c r="H6" s="10" t="n">
        <x:v>15095.26</x:v>
      </x:c>
      <x:c r="I6" s="10" t="n">
        <x:v>31797.829999999998</x:v>
      </x:c>
    </x:row>
    <x:row r="7" ht="23" customHeight="1">
      <x:c r="A7" s="2" t="n">
        <x:v>2023</x:v>
      </x:c>
      <x:c r="B7" s="2" t="str">
        <x:v>2023-01</x:v>
      </x:c>
      <x:c r="C7" s="2" t="str">
        <x:v>Coffee</x:v>
      </x:c>
      <x:c r="D7" s="2" t="str">
        <x:v>Convenience</x:v>
      </x:c>
      <x:c r="E7" s="2" t="str">
        <x:v>QLD</x:v>
      </x:c>
      <x:c r="F7" s="10" t="n">
        <x:v>30305.17</x:v>
      </x:c>
      <x:c r="G7" s="12" t="n">
        <x:v>5972</x:v>
      </x:c>
      <x:c r="H7" s="10" t="n">
        <x:v>13097.3</x:v>
      </x:c>
      <x:c r="I7" s="10" t="n">
        <x:v>30656.04</x:v>
      </x:c>
    </x:row>
    <x:row r="8" ht="23" customHeight="1">
      <x:c r="A8" s="2" t="n">
        <x:v>2023</x:v>
      </x:c>
      <x:c r="B8" s="2" t="str">
        <x:v>2023-01</x:v>
      </x:c>
      <x:c r="C8" s="2" t="str">
        <x:v>Coffee</x:v>
      </x:c>
      <x:c r="D8" s="2" t="str">
        <x:v>Convenience</x:v>
      </x:c>
      <x:c r="E8" s="2" t="str">
        <x:v>VIC</x:v>
      </x:c>
      <x:c r="F8" s="10" t="n">
        <x:v>29845.63</x:v>
      </x:c>
      <x:c r="G8" s="12" t="n">
        <x:v>5797</x:v>
      </x:c>
      <x:c r="H8" s="10" t="n">
        <x:v>13339.07</x:v>
      </x:c>
      <x:c r="I8" s="10" t="n">
        <x:v>29761.37</x:v>
      </x:c>
    </x:row>
    <x:row r="9" ht="23" customHeight="1">
      <x:c r="A9" s="2" t="n">
        <x:v>2023</x:v>
      </x:c>
      <x:c r="B9" s="2" t="str">
        <x:v>2023-01</x:v>
      </x:c>
      <x:c r="C9" s="2" t="str">
        <x:v>Coffee</x:v>
      </x:c>
      <x:c r="D9" s="2" t="str">
        <x:v>Grocery</x:v>
      </x:c>
      <x:c r="E9" s="2" t="str">
        <x:v>NSW</x:v>
      </x:c>
      <x:c r="F9" s="10" t="n">
        <x:v>77267.45</x:v>
      </x:c>
      <x:c r="G9" s="12" t="n">
        <x:v>18301</x:v>
      </x:c>
      <x:c r="H9" s="10" t="n">
        <x:v>24951.19</x:v>
      </x:c>
      <x:c r="I9" s="10" t="n">
        <x:v>79143.11</x:v>
      </x:c>
    </x:row>
    <x:row r="10" ht="23" customHeight="1">
      <x:c r="A10" s="2" t="n">
        <x:v>2023</x:v>
      </x:c>
      <x:c r="B10" s="2" t="str">
        <x:v>2023-01</x:v>
      </x:c>
      <x:c r="C10" s="2" t="str">
        <x:v>Coffee</x:v>
      </x:c>
      <x:c r="D10" s="2" t="str">
        <x:v>Grocery</x:v>
      </x:c>
      <x:c r="E10" s="2" t="str">
        <x:v>QLD</x:v>
      </x:c>
      <x:c r="F10" s="10" t="n">
        <x:v>75838.33</x:v>
      </x:c>
      <x:c r="G10" s="12" t="n">
        <x:v>17229</x:v>
      </x:c>
      <x:c r="H10" s="10" t="n">
        <x:v>27126.51</x:v>
      </x:c>
      <x:c r="I10" s="10" t="n">
        <x:v>76038.96</x:v>
      </x:c>
    </x:row>
    <x:row r="11" ht="23" customHeight="1">
      <x:c r="A11" s="2" t="n">
        <x:v>2023</x:v>
      </x:c>
      <x:c r="B11" s="2" t="str">
        <x:v>2023-01</x:v>
      </x:c>
      <x:c r="C11" s="2" t="str">
        <x:v>Coffee</x:v>
      </x:c>
      <x:c r="D11" s="2" t="str">
        <x:v>Grocery</x:v>
      </x:c>
      <x:c r="E11" s="2" t="str">
        <x:v>VIC</x:v>
      </x:c>
      <x:c r="F11" s="10" t="n">
        <x:v>74219.86</x:v>
      </x:c>
      <x:c r="G11" s="12" t="n">
        <x:v>17154</x:v>
      </x:c>
      <x:c r="H11" s="10" t="n">
        <x:v>25510.81</x:v>
      </x:c>
      <x:c r="I11" s="10" t="n">
        <x:v>73816.69</x:v>
      </x:c>
    </x:row>
    <x:row r="12" ht="23" customHeight="1">
      <x:c r="A12" s="2" t="n">
        <x:v>2023</x:v>
      </x:c>
      <x:c r="B12" s="2" t="str">
        <x:v>2023-01</x:v>
      </x:c>
      <x:c r="C12" s="2" t="str">
        <x:v>Coffee</x:v>
      </x:c>
      <x:c r="D12" s="2" t="str">
        <x:v>Hospitality</x:v>
      </x:c>
      <x:c r="E12" s="2" t="str">
        <x:v>NSW</x:v>
      </x:c>
      <x:c r="F12" s="10" t="n">
        <x:v>10160.76</x:v>
      </x:c>
      <x:c r="G12" s="12" t="n">
        <x:v>2529</x:v>
      </x:c>
      <x:c r="H12" s="10" t="n">
        <x:v>2935.38</x:v>
      </x:c>
      <x:c r="I12" s="10" t="n">
        <x:v>10012.18</x:v>
      </x:c>
    </x:row>
    <x:row r="13" ht="23" customHeight="1">
      <x:c r="A13" s="2" t="n">
        <x:v>2023</x:v>
      </x:c>
      <x:c r="B13" s="2" t="str">
        <x:v>2023-01</x:v>
      </x:c>
      <x:c r="C13" s="2" t="str">
        <x:v>Coffee</x:v>
      </x:c>
      <x:c r="D13" s="2" t="str">
        <x:v>Hospitality</x:v>
      </x:c>
      <x:c r="E13" s="2" t="str">
        <x:v>QLD</x:v>
      </x:c>
      <x:c r="F13" s="10" t="n">
        <x:v>9749.9</x:v>
      </x:c>
      <x:c r="G13" s="12" t="n">
        <x:v>2349</x:v>
      </x:c>
      <x:c r="H13" s="10" t="n">
        <x:v>3042.36</x:v>
      </x:c>
      <x:c r="I13" s="10" t="n">
        <x:v>9587.99</x:v>
      </x:c>
    </x:row>
    <x:row r="14" ht="23" customHeight="1">
      <x:c r="A14" s="2" t="n">
        <x:v>2023</x:v>
      </x:c>
      <x:c r="B14" s="2" t="str">
        <x:v>2023-01</x:v>
      </x:c>
      <x:c r="C14" s="2" t="str">
        <x:v>Coffee</x:v>
      </x:c>
      <x:c r="D14" s="2" t="str">
        <x:v>Hospitality</x:v>
      </x:c>
      <x:c r="E14" s="2" t="str">
        <x:v>VIC</x:v>
      </x:c>
      <x:c r="F14" s="10" t="n">
        <x:v>9471.44</x:v>
      </x:c>
      <x:c r="G14" s="12" t="n">
        <x:v>2328</x:v>
      </x:c>
      <x:c r="H14" s="10" t="n">
        <x:v>2865.21</x:v>
      </x:c>
      <x:c r="I14" s="10" t="n">
        <x:v>9194.6</x:v>
      </x:c>
    </x:row>
    <x:row r="15" ht="23" customHeight="1">
      <x:c r="A15" s="2" t="n">
        <x:v>2023</x:v>
      </x:c>
      <x:c r="B15" s="2" t="str">
        <x:v>2023-01</x:v>
      </x:c>
      <x:c r="C15" s="2" t="str">
        <x:v>Coffee</x:v>
      </x:c>
      <x:c r="D15" s="2" t="str">
        <x:v>Independent retail</x:v>
      </x:c>
      <x:c r="E15" s="2" t="str">
        <x:v>NSW</x:v>
      </x:c>
      <x:c r="F15" s="10" t="n">
        <x:v>27717.08</x:v>
      </x:c>
      <x:c r="G15" s="12" t="n">
        <x:v>6036</x:v>
      </x:c>
      <x:c r="H15" s="10" t="n">
        <x:v>10444.41</x:v>
      </x:c>
      <x:c r="I15" s="10" t="n">
        <x:v>26879.12</x:v>
      </x:c>
    </x:row>
    <x:row r="16" ht="23" customHeight="1">
      <x:c r="A16" s="2" t="n">
        <x:v>2023</x:v>
      </x:c>
      <x:c r="B16" s="2" t="str">
        <x:v>2023-01</x:v>
      </x:c>
      <x:c r="C16" s="2" t="str">
        <x:v>Coffee</x:v>
      </x:c>
      <x:c r="D16" s="2" t="str">
        <x:v>Independent retail</x:v>
      </x:c>
      <x:c r="E16" s="2" t="str">
        <x:v>QLD</x:v>
      </x:c>
      <x:c r="F16" s="10" t="n">
        <x:v>25379.71</x:v>
      </x:c>
      <x:c r="G16" s="12" t="n">
        <x:v>5742</x:v>
      </x:c>
      <x:c r="H16" s="10" t="n">
        <x:v>8827.17</x:v>
      </x:c>
      <x:c r="I16" s="10" t="n">
        <x:v>25906.91</x:v>
      </x:c>
    </x:row>
    <x:row r="17" ht="23" customHeight="1">
      <x:c r="A17" s="2" t="n">
        <x:v>2023</x:v>
      </x:c>
      <x:c r="B17" s="2" t="str">
        <x:v>2023-01</x:v>
      </x:c>
      <x:c r="C17" s="2" t="str">
        <x:v>Coffee</x:v>
      </x:c>
      <x:c r="D17" s="2" t="str">
        <x:v>Independent retail</x:v>
      </x:c>
      <x:c r="E17" s="2" t="str">
        <x:v>VIC</x:v>
      </x:c>
      <x:c r="F17" s="10" t="n">
        <x:v>25983.739999999998</x:v>
      </x:c>
      <x:c r="G17" s="12" t="n">
        <x:v>5772</x:v>
      </x:c>
      <x:c r="H17" s="10" t="n">
        <x:v>9356.77</x:v>
      </x:c>
      <x:c r="I17" s="10" t="n">
        <x:v>25074.96</x:v>
      </x:c>
    </x:row>
    <x:row r="18" ht="23" customHeight="1">
      <x:c r="A18" s="2" t="n">
        <x:v>2023</x:v>
      </x:c>
      <x:c r="B18" s="2" t="str">
        <x:v>2023-01</x:v>
      </x:c>
      <x:c r="C18" s="2" t="str">
        <x:v>Coffee</x:v>
      </x:c>
      <x:c r="D18" s="2" t="str">
        <x:v>Petrol</x:v>
      </x:c>
      <x:c r="E18" s="2" t="str">
        <x:v>NSW</x:v>
      </x:c>
      <x:c r="F18" s="10" t="n">
        <x:v>29269.55</x:v>
      </x:c>
      <x:c r="G18" s="12" t="n">
        <x:v>6056</x:v>
      </x:c>
      <x:c r="H18" s="10" t="n">
        <x:v>11774.41</x:v>
      </x:c>
      <x:c r="I18" s="10" t="n">
        <x:v>29002.05</x:v>
      </x:c>
    </x:row>
    <x:row r="19" ht="23" customHeight="1">
      <x:c r="A19" s="2" t="n">
        <x:v>2023</x:v>
      </x:c>
      <x:c r="B19" s="2" t="str">
        <x:v>2023-01</x:v>
      </x:c>
      <x:c r="C19" s="2" t="str">
        <x:v>Coffee</x:v>
      </x:c>
      <x:c r="D19" s="2" t="str">
        <x:v>Petrol</x:v>
      </x:c>
      <x:c r="E19" s="2" t="str">
        <x:v>QLD</x:v>
      </x:c>
      <x:c r="F19" s="10" t="n">
        <x:v>28115.29</x:v>
      </x:c>
      <x:c r="G19" s="12" t="n">
        <x:v>5919</x:v>
      </x:c>
      <x:c r="H19" s="10" t="n">
        <x:v>11176.99</x:v>
      </x:c>
      <x:c r="I19" s="10" t="n">
        <x:v>27900.850000000002</x:v>
      </x:c>
    </x:row>
    <x:row r="20" ht="23" customHeight="1">
      <x:c r="A20" s="2" t="n">
        <x:v>2023</x:v>
      </x:c>
      <x:c r="B20" s="2" t="str">
        <x:v>2023-01</x:v>
      </x:c>
      <x:c r="C20" s="2" t="str">
        <x:v>Coffee</x:v>
      </x:c>
      <x:c r="D20" s="2" t="str">
        <x:v>Petrol</x:v>
      </x:c>
      <x:c r="E20" s="2" t="str">
        <x:v>VIC</x:v>
      </x:c>
      <x:c r="F20" s="10" t="n">
        <x:v>26961.36</x:v>
      </x:c>
      <x:c r="G20" s="12" t="n">
        <x:v>5734</x:v>
      </x:c>
      <x:c r="H20" s="10" t="n">
        <x:v>10701.19</x:v>
      </x:c>
      <x:c r="I20" s="10" t="n">
        <x:v>27035.07</x:v>
      </x:c>
    </x:row>
    <x:row r="21" ht="23" customHeight="1">
      <x:c r="A21" s="2" t="n">
        <x:v>2023</x:v>
      </x:c>
      <x:c r="B21" s="2" t="str">
        <x:v>2023-01</x:v>
      </x:c>
      <x:c r="C21" s="2" t="str">
        <x:v>Energy</x:v>
      </x:c>
      <x:c r="D21" s="2" t="str">
        <x:v>Convenience</x:v>
      </x:c>
      <x:c r="E21" s="2" t="str">
        <x:v>NSW</x:v>
      </x:c>
      <x:c r="F21" s="10" t="n">
        <x:v>78276.45</x:v>
      </x:c>
      <x:c r="G21" s="12" t="n">
        <x:v>14603</x:v>
      </x:c>
      <x:c r="H21" s="10" t="n">
        <x:v>46919.57</x:v>
      </x:c>
      <x:c r="I21" s="10" t="n">
        <x:v>117327.8</x:v>
      </x:c>
    </x:row>
    <x:row r="22" ht="23" customHeight="1">
      <x:c r="A22" s="2" t="n">
        <x:v>2023</x:v>
      </x:c>
      <x:c r="B22" s="2" t="str">
        <x:v>2023-01</x:v>
      </x:c>
      <x:c r="C22" s="2" t="str">
        <x:v>Energy</x:v>
      </x:c>
      <x:c r="D22" s="2" t="str">
        <x:v>Convenience</x:v>
      </x:c>
      <x:c r="E22" s="2" t="str">
        <x:v>QLD</x:v>
      </x:c>
      <x:c r="F22" s="10" t="n">
        <x:v>75469.24</x:v>
      </x:c>
      <x:c r="G22" s="12" t="n">
        <x:v>14661</x:v>
      </x:c>
      <x:c r="H22" s="10" t="n">
        <x:v>44751.08</x:v>
      </x:c>
      <x:c r="I22" s="10" t="n">
        <x:v>112850.82</x:v>
      </x:c>
    </x:row>
    <x:row r="23" ht="23" customHeight="1">
      <x:c r="A23" s="2" t="n">
        <x:v>2023</x:v>
      </x:c>
      <x:c r="B23" s="2" t="str">
        <x:v>2023-01</x:v>
      </x:c>
      <x:c r="C23" s="2" t="str">
        <x:v>Energy</x:v>
      </x:c>
      <x:c r="D23" s="2" t="str">
        <x:v>Convenience</x:v>
      </x:c>
      <x:c r="E23" s="2" t="str">
        <x:v>VIC</x:v>
      </x:c>
      <x:c r="F23" s="10" t="n">
        <x:v>75160.34</x:v>
      </x:c>
      <x:c r="G23" s="12" t="n">
        <x:v>14455</x:v>
      </x:c>
      <x:c r="H23" s="10" t="n">
        <x:v>44643.42</x:v>
      </x:c>
      <x:c r="I23" s="10" t="n">
        <x:v>109331.91</x:v>
      </x:c>
    </x:row>
    <x:row r="24" ht="23" customHeight="1">
      <x:c r="A24" s="2" t="n">
        <x:v>2023</x:v>
      </x:c>
      <x:c r="B24" s="2" t="str">
        <x:v>2023-01</x:v>
      </x:c>
      <x:c r="C24" s="2" t="str">
        <x:v>Energy</x:v>
      </x:c>
      <x:c r="D24" s="2" t="str">
        <x:v>Grocery</x:v>
      </x:c>
      <x:c r="E24" s="2" t="str">
        <x:v>NSW</x:v>
      </x:c>
      <x:c r="F24" s="10" t="n">
        <x:v>300399.15</x:v>
      </x:c>
      <x:c r="G24" s="12" t="n">
        <x:v>65030</x:v>
      </x:c>
      <x:c r="H24" s="10" t="n">
        <x:v>164312.71</x:v>
      </x:c>
      <x:c r="I24" s="10" t="n">
        <x:v>292188.48</x:v>
      </x:c>
    </x:row>
    <x:row r="25" ht="23" customHeight="1">
      <x:c r="A25" s="2" t="n">
        <x:v>2023</x:v>
      </x:c>
      <x:c r="B25" s="2" t="str">
        <x:v>2023-01</x:v>
      </x:c>
      <x:c r="C25" s="2" t="str">
        <x:v>Energy</x:v>
      </x:c>
      <x:c r="D25" s="2" t="str">
        <x:v>Grocery</x:v>
      </x:c>
      <x:c r="E25" s="2" t="str">
        <x:v>QLD</x:v>
      </x:c>
      <x:c r="F25" s="10" t="n">
        <x:v>297487.83</x:v>
      </x:c>
      <x:c r="G25" s="12" t="n">
        <x:v>63206</x:v>
      </x:c>
      <x:c r="H25" s="10" t="n">
        <x:v>160667.83</x:v>
      </x:c>
      <x:c r="I25" s="10" t="n">
        <x:v>280894.76</x:v>
      </x:c>
    </x:row>
    <x:row r="26" ht="23" customHeight="1">
      <x:c r="A26" s="2" t="n">
        <x:v>2023</x:v>
      </x:c>
      <x:c r="B26" s="2" t="str">
        <x:v>2023-01</x:v>
      </x:c>
      <x:c r="C26" s="2" t="str">
        <x:v>Energy</x:v>
      </x:c>
      <x:c r="D26" s="2" t="str">
        <x:v>Grocery</x:v>
      </x:c>
      <x:c r="E26" s="2" t="str">
        <x:v>VIC</x:v>
      </x:c>
      <x:c r="F26" s="10" t="n">
        <x:v>279795.23</x:v>
      </x:c>
      <x:c r="G26" s="12" t="n">
        <x:v>59883</x:v>
      </x:c>
      <x:c r="H26" s="10" t="n">
        <x:v>153162.07</x:v>
      </x:c>
      <x:c r="I26" s="10" t="n">
        <x:v>272504.14</x:v>
      </x:c>
    </x:row>
    <x:row r="27">
      <x:c r="A27" t="n">
        <x:v>2023</x:v>
      </x:c>
      <x:c r="B27" t="str">
        <x:v>2023-01</x:v>
      </x:c>
      <x:c r="C27" t="str">
        <x:v>Energy</x:v>
      </x:c>
      <x:c r="D27" t="str">
        <x:v>Hospitality</x:v>
      </x:c>
      <x:c r="E27" t="str">
        <x:v>NSW</x:v>
      </x:c>
      <x:c r="F27" s="11" t="n">
        <x:v>38305.29</x:v>
      </x:c>
      <x:c r="G27" s="13" t="n">
        <x:v>8883</x:v>
      </x:c>
      <x:c r="H27" s="11" t="n">
        <x:v>19524.01</x:v>
      </x:c>
      <x:c r="I27" s="11" t="n">
        <x:v>36567.36</x:v>
      </x:c>
    </x:row>
    <x:row r="28">
      <x:c r="A28" t="n">
        <x:v>2023</x:v>
      </x:c>
      <x:c r="B28" t="str">
        <x:v>2023-01</x:v>
      </x:c>
      <x:c r="C28" t="str">
        <x:v>Energy</x:v>
      </x:c>
      <x:c r="D28" t="str">
        <x:v>Hospitality</x:v>
      </x:c>
      <x:c r="E28" t="str">
        <x:v>QLD</x:v>
      </x:c>
      <x:c r="F28" s="11" t="n">
        <x:v>37781.56</x:v>
      </x:c>
      <x:c r="G28" s="13" t="n">
        <x:v>8842</x:v>
      </x:c>
      <x:c r="H28" s="11" t="n">
        <x:v>18747.96</x:v>
      </x:c>
      <x:c r="I28" s="11" t="n">
        <x:v>35176.05</x:v>
      </x:c>
    </x:row>
    <x:row r="29">
      <x:c r="A29" t="n">
        <x:v>2023</x:v>
      </x:c>
      <x:c r="B29" t="str">
        <x:v>2023-01</x:v>
      </x:c>
      <x:c r="C29" t="str">
        <x:v>Energy</x:v>
      </x:c>
      <x:c r="D29" t="str">
        <x:v>Hospitality</x:v>
      </x:c>
      <x:c r="E29" t="str">
        <x:v>VIC</x:v>
      </x:c>
      <x:c r="F29" s="11" t="n">
        <x:v>35374.41</x:v>
      </x:c>
      <x:c r="G29" s="13" t="n">
        <x:v>8216</x:v>
      </x:c>
      <x:c r="H29" s="11" t="n">
        <x:v>17634.93</x:v>
      </x:c>
      <x:c r="I29" s="11" t="n">
        <x:v>34168.76</x:v>
      </x:c>
    </x:row>
    <x:row r="30">
      <x:c r="A30" t="n">
        <x:v>2023</x:v>
      </x:c>
      <x:c r="B30" t="str">
        <x:v>2023-01</x:v>
      </x:c>
      <x:c r="C30" t="str">
        <x:v>Energy</x:v>
      </x:c>
      <x:c r="D30" t="str">
        <x:v>Independent retail</x:v>
      </x:c>
      <x:c r="E30" t="str">
        <x:v>NSW</x:v>
      </x:c>
      <x:c r="F30" s="11" t="n">
        <x:v>106345.84</x:v>
      </x:c>
      <x:c r="G30" s="13" t="n">
        <x:v>22645</x:v>
      </x:c>
      <x:c r="H30" s="11" t="n">
        <x:v>57809.8</x:v>
      </x:c>
      <x:c r="I30" s="11" t="n">
        <x:v>99292.62</x:v>
      </x:c>
    </x:row>
    <x:row r="31">
      <x:c r="A31" t="n">
        <x:v>2023</x:v>
      </x:c>
      <x:c r="B31" t="str">
        <x:v>2023-01</x:v>
      </x:c>
      <x:c r="C31" t="str">
        <x:v>Energy</x:v>
      </x:c>
      <x:c r="D31" t="str">
        <x:v>Independent retail</x:v>
      </x:c>
      <x:c r="E31" t="str">
        <x:v>QLD</x:v>
      </x:c>
      <x:c r="F31" s="11" t="n">
        <x:v>100751.13</x:v>
      </x:c>
      <x:c r="G31" s="13" t="n">
        <x:v>21286</x:v>
      </x:c>
      <x:c r="H31" s="11" t="n">
        <x:v>55708.85</x:v>
      </x:c>
      <x:c r="I31" s="11" t="n">
        <x:v>95420.09</x:v>
      </x:c>
    </x:row>
    <x:row r="32">
      <x:c r="A32" t="n">
        <x:v>2023</x:v>
      </x:c>
      <x:c r="B32" t="str">
        <x:v>2023-01</x:v>
      </x:c>
      <x:c r="C32" t="str">
        <x:v>Energy</x:v>
      </x:c>
      <x:c r="D32" t="str">
        <x:v>Independent retail</x:v>
      </x:c>
      <x:c r="E32" t="str">
        <x:v>VIC</x:v>
      </x:c>
      <x:c r="F32" s="11" t="n">
        <x:v>96811.92</x:v>
      </x:c>
      <x:c r="G32" s="13" t="n">
        <x:v>20716</x:v>
      </x:c>
      <x:c r="H32" s="11" t="n">
        <x:v>52634.64</x:v>
      </x:c>
      <x:c r="I32" s="11" t="n">
        <x:v>92486.86</x:v>
      </x:c>
    </x:row>
    <x:row r="33">
      <x:c r="A33" t="n">
        <x:v>2023</x:v>
      </x:c>
      <x:c r="B33" t="str">
        <x:v>2023-01</x:v>
      </x:c>
      <x:c r="C33" t="str">
        <x:v>Energy</x:v>
      </x:c>
      <x:c r="D33" t="str">
        <x:v>Petrol</x:v>
      </x:c>
      <x:c r="E33" t="str">
        <x:v>NSW</x:v>
      </x:c>
      <x:c r="F33" s="11" t="n">
        <x:v>114106.46</x:v>
      </x:c>
      <x:c r="G33" s="13" t="n">
        <x:v>22224</x:v>
      </x:c>
      <x:c r="H33" s="11" t="n">
        <x:v>67216.06</x:v>
      </x:c>
      <x:c r="I33" s="11" t="n">
        <x:v>106850.81999999999</x:v>
      </x:c>
    </x:row>
    <x:row r="34">
      <x:c r="A34" t="n">
        <x:v>2023</x:v>
      </x:c>
      <x:c r="B34" t="str">
        <x:v>2023-01</x:v>
      </x:c>
      <x:c r="C34" t="str">
        <x:v>Energy</x:v>
      </x:c>
      <x:c r="D34" t="str">
        <x:v>Petrol</x:v>
      </x:c>
      <x:c r="E34" t="str">
        <x:v>QLD</x:v>
      </x:c>
      <x:c r="F34" s="11" t="n">
        <x:v>103441.26</x:v>
      </x:c>
      <x:c r="G34" s="13" t="n">
        <x:v>20138</x:v>
      </x:c>
      <x:c r="H34" s="11" t="n">
        <x:v>61567.14</x:v>
      </x:c>
      <x:c r="I34" s="11" t="n">
        <x:v>102758.2</x:v>
      </x:c>
    </x:row>
    <x:row r="35">
      <x:c r="A35" t="n">
        <x:v>2023</x:v>
      </x:c>
      <x:c r="B35" t="str">
        <x:v>2023-01</x:v>
      </x:c>
      <x:c r="C35" t="str">
        <x:v>Energy</x:v>
      </x:c>
      <x:c r="D35" t="str">
        <x:v>Petrol</x:v>
      </x:c>
      <x:c r="E35" t="str">
        <x:v>VIC</x:v>
      </x:c>
      <x:c r="F35" s="11" t="n">
        <x:v>105188.04</x:v>
      </x:c>
      <x:c r="G35" s="13" t="n">
        <x:v>20534</x:v>
      </x:c>
      <x:c r="H35" s="11" t="n">
        <x:v>62454.64</x:v>
      </x:c>
      <x:c r="I35" s="11" t="n">
        <x:v>99664.18</x:v>
      </x:c>
    </x:row>
    <x:row r="36">
      <x:c r="A36" t="n">
        <x:v>2023</x:v>
      </x:c>
      <x:c r="B36" t="str">
        <x:v>2023-01</x:v>
      </x:c>
      <x:c r="C36" t="str">
        <x:v>Sparkling</x:v>
      </x:c>
      <x:c r="D36" t="str">
        <x:v>Convenience</x:v>
      </x:c>
      <x:c r="E36" t="str">
        <x:v>NSW</x:v>
      </x:c>
      <x:c r="F36" s="11" t="n">
        <x:v>145167.92</x:v>
      </x:c>
      <x:c r="G36" s="13" t="n">
        <x:v>36478</x:v>
      </x:c>
      <x:c r="H36" s="11" t="n">
        <x:v>79511.26</x:v>
      </x:c>
      <x:c r="I36" s="11" t="n">
        <x:v>142649.69</x:v>
      </x:c>
    </x:row>
    <x:row r="37">
      <x:c r="A37" t="n">
        <x:v>2023</x:v>
      </x:c>
      <x:c r="B37" t="str">
        <x:v>2023-01</x:v>
      </x:c>
      <x:c r="C37" t="str">
        <x:v>Sparkling</x:v>
      </x:c>
      <x:c r="D37" t="str">
        <x:v>Convenience</x:v>
      </x:c>
      <x:c r="E37" t="str">
        <x:v>QLD</x:v>
      </x:c>
      <x:c r="F37" s="11" t="n">
        <x:v>136893.95</x:v>
      </x:c>
      <x:c r="G37" s="13" t="n">
        <x:v>34047</x:v>
      </x:c>
      <x:c r="H37" s="11" t="n">
        <x:v>76259.81</x:v>
      </x:c>
      <x:c r="I37" s="11" t="n">
        <x:v>137156.24</x:v>
      </x:c>
    </x:row>
    <x:row r="38">
      <x:c r="A38" t="n">
        <x:v>2023</x:v>
      </x:c>
      <x:c r="B38" t="str">
        <x:v>2023-01</x:v>
      </x:c>
      <x:c r="C38" t="str">
        <x:v>Sparkling</x:v>
      </x:c>
      <x:c r="D38" t="str">
        <x:v>Convenience</x:v>
      </x:c>
      <x:c r="E38" t="str">
        <x:v>VIC</x:v>
      </x:c>
      <x:c r="F38" s="11" t="n">
        <x:v>135966.66</x:v>
      </x:c>
      <x:c r="G38" s="13" t="n">
        <x:v>34409</x:v>
      </x:c>
      <x:c r="H38" s="11" t="n">
        <x:v>74832.34</x:v>
      </x:c>
      <x:c r="I38" s="11" t="n">
        <x:v>133049.74</x:v>
      </x:c>
    </x:row>
    <x:row r="39">
      <x:c r="A39" t="n">
        <x:v>2023</x:v>
      </x:c>
      <x:c r="B39" t="str">
        <x:v>2023-01</x:v>
      </x:c>
      <x:c r="C39" t="str">
        <x:v>Sparkling</x:v>
      </x:c>
      <x:c r="D39" t="str">
        <x:v>Grocery</x:v>
      </x:c>
      <x:c r="E39" t="str">
        <x:v>NSW</x:v>
      </x:c>
      <x:c r="F39" s="11" t="n">
        <x:v>360289.3</x:v>
      </x:c>
      <x:c r="G39" s="13" t="n">
        <x:v>103446</x:v>
      </x:c>
      <x:c r="H39" s="11" t="n">
        <x:v>174309.5</x:v>
      </x:c>
      <x:c r="I39" s="11" t="n">
        <x:v>354815.82</x:v>
      </x:c>
    </x:row>
    <x:row r="40">
      <x:c r="A40" t="n">
        <x:v>2023</x:v>
      </x:c>
      <x:c r="B40" t="str">
        <x:v>2023-01</x:v>
      </x:c>
      <x:c r="C40" t="str">
        <x:v>Sparkling</x:v>
      </x:c>
      <x:c r="D40" t="str">
        <x:v>Grocery</x:v>
      </x:c>
      <x:c r="E40" t="str">
        <x:v>QLD</x:v>
      </x:c>
      <x:c r="F40" s="11" t="n">
        <x:v>348196.84</x:v>
      </x:c>
      <x:c r="G40" s="13" t="n">
        <x:v>101533</x:v>
      </x:c>
      <x:c r="H40" s="11" t="n">
        <x:v>165978.4</x:v>
      </x:c>
      <x:c r="I40" s="11" t="n">
        <x:v>341188.05</x:v>
      </x:c>
    </x:row>
    <x:row r="41">
      <x:c r="A41" t="n">
        <x:v>2023</x:v>
      </x:c>
      <x:c r="B41" t="str">
        <x:v>2023-01</x:v>
      </x:c>
      <x:c r="C41" t="str">
        <x:v>Sparkling</x:v>
      </x:c>
      <x:c r="D41" t="str">
        <x:v>Grocery</x:v>
      </x:c>
      <x:c r="E41" t="str">
        <x:v>VIC</x:v>
      </x:c>
      <x:c r="F41" s="11" t="n">
        <x:v>338532.64</x:v>
      </x:c>
      <x:c r="G41" s="13" t="n">
        <x:v>98596</x:v>
      </x:c>
      <x:c r="H41" s="11" t="n">
        <x:v>160772.36</x:v>
      </x:c>
      <x:c r="I41" s="11" t="n">
        <x:v>330939.97</x:v>
      </x:c>
    </x:row>
    <x:row r="42">
      <x:c r="A42" t="n">
        <x:v>2023</x:v>
      </x:c>
      <x:c r="B42" t="str">
        <x:v>2023-01</x:v>
      </x:c>
      <x:c r="C42" t="str">
        <x:v>Sparkling</x:v>
      </x:c>
      <x:c r="D42" t="str">
        <x:v>Hospitality</x:v>
      </x:c>
      <x:c r="E42" t="str">
        <x:v>NSW</x:v>
      </x:c>
      <x:c r="F42" s="11" t="n">
        <x:v>45435.73</x:v>
      </x:c>
      <x:c r="G42" s="13" t="n">
        <x:v>14321</x:v>
      </x:c>
      <x:c r="H42" s="11" t="n">
        <x:v>19591.03</x:v>
      </x:c>
      <x:c r="I42" s="11" t="n">
        <x:v>44412.9</x:v>
      </x:c>
    </x:row>
    <x:row r="43">
      <x:c r="A43" t="n">
        <x:v>2023</x:v>
      </x:c>
      <x:c r="B43" t="str">
        <x:v>2023-01</x:v>
      </x:c>
      <x:c r="C43" t="str">
        <x:v>Sparkling</x:v>
      </x:c>
      <x:c r="D43" t="str">
        <x:v>Hospitality</x:v>
      </x:c>
      <x:c r="E43" t="str">
        <x:v>QLD</x:v>
      </x:c>
      <x:c r="F43" s="11" t="n">
        <x:v>45047.51</x:v>
      </x:c>
      <x:c r="G43" s="13" t="n">
        <x:v>14324</x:v>
      </x:c>
      <x:c r="H43" s="11" t="n">
        <x:v>19304.45</x:v>
      </x:c>
      <x:c r="I43" s="11" t="n">
        <x:v>42675.77</x:v>
      </x:c>
    </x:row>
    <x:row r="44">
      <x:c r="A44" t="n">
        <x:v>2023</x:v>
      </x:c>
      <x:c r="B44" t="str">
        <x:v>2023-01</x:v>
      </x:c>
      <x:c r="C44" t="str">
        <x:v>Sparkling</x:v>
      </x:c>
      <x:c r="D44" t="str">
        <x:v>Hospitality</x:v>
      </x:c>
      <x:c r="E44" t="str">
        <x:v>VIC</x:v>
      </x:c>
      <x:c r="F44" s="11" t="n">
        <x:v>43464.5</x:v>
      </x:c>
      <x:c r="G44" s="13" t="n">
        <x:v>13883</x:v>
      </x:c>
      <x:c r="H44" s="11" t="n">
        <x:v>18592.16</x:v>
      </x:c>
      <x:c r="I44" s="11" t="n">
        <x:v>41406.07</x:v>
      </x:c>
    </x:row>
    <x:row r="45">
      <x:c r="A45" t="n">
        <x:v>2023</x:v>
      </x:c>
      <x:c r="B45" t="str">
        <x:v>2023-01</x:v>
      </x:c>
      <x:c r="C45" t="str">
        <x:v>Sparkling</x:v>
      </x:c>
      <x:c r="D45" t="str">
        <x:v>Independent retail</x:v>
      </x:c>
      <x:c r="E45" t="str">
        <x:v>NSW</x:v>
      </x:c>
      <x:c r="F45" s="11" t="n">
        <x:v>124461.47</x:v>
      </x:c>
      <x:c r="G45" s="13" t="n">
        <x:v>35232</x:v>
      </x:c>
      <x:c r="H45" s="11" t="n">
        <x:v>61552.47</x:v>
      </x:c>
      <x:c r="I45" s="11" t="n">
        <x:v>120618.17</x:v>
      </x:c>
    </x:row>
    <x:row r="46">
      <x:c r="A46" t="n">
        <x:v>2023</x:v>
      </x:c>
      <x:c r="B46" t="str">
        <x:v>2023-01</x:v>
      </x:c>
      <x:c r="C46" t="str">
        <x:v>Sparkling</x:v>
      </x:c>
      <x:c r="D46" t="str">
        <x:v>Independent retail</x:v>
      </x:c>
      <x:c r="E46" t="str">
        <x:v>QLD</x:v>
      </x:c>
      <x:c r="F46" s="11" t="n">
        <x:v>118960.58</x:v>
      </x:c>
      <x:c r="G46" s="13" t="n">
        <x:v>33140</x:v>
      </x:c>
      <x:c r="H46" s="11" t="n">
        <x:v>59886.04</x:v>
      </x:c>
      <x:c r="I46" s="11" t="n">
        <x:v>115962.74</x:v>
      </x:c>
    </x:row>
    <x:row r="47">
      <x:c r="A47" t="n">
        <x:v>2023</x:v>
      </x:c>
      <x:c r="B47" t="str">
        <x:v>2023-01</x:v>
      </x:c>
      <x:c r="C47" t="str">
        <x:v>Sparkling</x:v>
      </x:c>
      <x:c r="D47" t="str">
        <x:v>Independent retail</x:v>
      </x:c>
      <x:c r="E47" t="str">
        <x:v>VIC</x:v>
      </x:c>
      <x:c r="F47" s="11" t="n">
        <x:v>113405.83</x:v>
      </x:c>
      <x:c r="G47" s="13" t="n">
        <x:v>31970</x:v>
      </x:c>
      <x:c r="H47" s="11" t="n">
        <x:v>56817.37</x:v>
      </x:c>
      <x:c r="I47" s="11" t="n">
        <x:v>112457.2</x:v>
      </x:c>
    </x:row>
    <x:row r="48">
      <x:c r="A48" t="n">
        <x:v>2023</x:v>
      </x:c>
      <x:c r="B48" t="str">
        <x:v>2023-01</x:v>
      </x:c>
      <x:c r="C48" t="str">
        <x:v>Sparkling</x:v>
      </x:c>
      <x:c r="D48" t="str">
        <x:v>Petrol</x:v>
      </x:c>
      <x:c r="E48" t="str">
        <x:v>NSW</x:v>
      </x:c>
      <x:c r="F48" s="11" t="n">
        <x:v>131743.47</x:v>
      </x:c>
      <x:c r="G48" s="13" t="n">
        <x:v>33637</x:v>
      </x:c>
      <x:c r="H48" s="11" t="n">
        <x:v>71714.07</x:v>
      </x:c>
      <x:c r="I48" s="11" t="n">
        <x:v>130037.76000000001</x:v>
      </x:c>
    </x:row>
    <x:row r="49">
      <x:c r="A49" t="n">
        <x:v>2023</x:v>
      </x:c>
      <x:c r="B49" t="str">
        <x:v>2023-01</x:v>
      </x:c>
      <x:c r="C49" t="str">
        <x:v>Sparkling</x:v>
      </x:c>
      <x:c r="D49" t="str">
        <x:v>Petrol</x:v>
      </x:c>
      <x:c r="E49" t="str">
        <x:v>QLD</x:v>
      </x:c>
      <x:c r="F49" s="11" t="n">
        <x:v>131861.92</x:v>
      </x:c>
      <x:c r="G49" s="13" t="n">
        <x:v>33839</x:v>
      </x:c>
      <x:c r="H49" s="11" t="n">
        <x:v>71080.56</x:v>
      </x:c>
      <x:c r="I49" s="11" t="n">
        <x:v>125161.74</x:v>
      </x:c>
    </x:row>
    <x:row r="50">
      <x:c r="A50" t="n">
        <x:v>2023</x:v>
      </x:c>
      <x:c r="B50" t="str">
        <x:v>2023-01</x:v>
      </x:c>
      <x:c r="C50" t="str">
        <x:v>Sparkling</x:v>
      </x:c>
      <x:c r="D50" t="str">
        <x:v>Petrol</x:v>
      </x:c>
      <x:c r="E50" t="str">
        <x:v>VIC</x:v>
      </x:c>
      <x:c r="F50" s="11" t="n">
        <x:v>123452.33</x:v>
      </x:c>
      <x:c r="G50" s="13" t="n">
        <x:v>31317</x:v>
      </x:c>
      <x:c r="H50" s="11" t="n">
        <x:v>67273.05</x:v>
      </x:c>
      <x:c r="I50" s="11" t="n">
        <x:v>121402.61</x:v>
      </x:c>
    </x:row>
    <x:row r="51">
      <x:c r="A51" t="n">
        <x:v>2023</x:v>
      </x:c>
      <x:c r="B51" t="str">
        <x:v>2023-01</x:v>
      </x:c>
      <x:c r="C51" t="str">
        <x:v>Sports</x:v>
      </x:c>
      <x:c r="D51" t="str">
        <x:v>Convenience</x:v>
      </x:c>
      <x:c r="E51" t="str">
        <x:v>NSW</x:v>
      </x:c>
      <x:c r="F51" s="11" t="n">
        <x:v>83731.96</x:v>
      </x:c>
      <x:c r="G51" s="13" t="n">
        <x:v>17390</x:v>
      </x:c>
      <x:c r="H51" s="11" t="n">
        <x:v>43801.88</x:v>
      </x:c>
      <x:c r="I51" s="11" t="n">
        <x:v>78827.24</x:v>
      </x:c>
    </x:row>
    <x:row r="52">
      <x:c r="A52" t="n">
        <x:v>2023</x:v>
      </x:c>
      <x:c r="B52" t="str">
        <x:v>2023-01</x:v>
      </x:c>
      <x:c r="C52" t="str">
        <x:v>Sports</x:v>
      </x:c>
      <x:c r="D52" t="str">
        <x:v>Convenience</x:v>
      </x:c>
      <x:c r="E52" t="str">
        <x:v>QLD</x:v>
      </x:c>
      <x:c r="F52" s="11" t="n">
        <x:v>77966.91</x:v>
      </x:c>
      <x:c r="G52" s="13" t="n">
        <x:v>15921</x:v>
      </x:c>
      <x:c r="H52" s="11" t="n">
        <x:v>42139.32</x:v>
      </x:c>
      <x:c r="I52" s="11" t="n">
        <x:v>75779.22</x:v>
      </x:c>
    </x:row>
    <x:row r="53">
      <x:c r="A53" t="n">
        <x:v>2023</x:v>
      </x:c>
      <x:c r="B53" t="str">
        <x:v>2023-01</x:v>
      </x:c>
      <x:c r="C53" t="str">
        <x:v>Sports</x:v>
      </x:c>
      <x:c r="D53" t="str">
        <x:v>Convenience</x:v>
      </x:c>
      <x:c r="E53" t="str">
        <x:v>VIC</x:v>
      </x:c>
      <x:c r="F53" s="11" t="n">
        <x:v>76337.09</x:v>
      </x:c>
      <x:c r="G53" s="13" t="n">
        <x:v>16077</x:v>
      </x:c>
      <x:c r="H53" s="11" t="n">
        <x:v>40173.57</x:v>
      </x:c>
      <x:c r="I53" s="11" t="n">
        <x:v>73495.75</x:v>
      </x:c>
    </x:row>
    <x:row r="54">
      <x:c r="A54" t="n">
        <x:v>2023</x:v>
      </x:c>
      <x:c r="B54" t="str">
        <x:v>2023-01</x:v>
      </x:c>
      <x:c r="C54" t="str">
        <x:v>Sports</x:v>
      </x:c>
      <x:c r="D54" t="str">
        <x:v>Grocery</x:v>
      </x:c>
      <x:c r="E54" t="str">
        <x:v>NSW</x:v>
      </x:c>
      <x:c r="F54" s="11" t="n">
        <x:v>202893.38</x:v>
      </x:c>
      <x:c r="G54" s="13" t="n">
        <x:v>46467</x:v>
      </x:c>
      <x:c r="H54" s="11" t="n">
        <x:v>95007.56</x:v>
      </x:c>
      <x:c r="I54" s="11" t="n">
        <x:v>195561.77</x:v>
      </x:c>
    </x:row>
    <x:row r="55">
      <x:c r="A55" t="n">
        <x:v>2023</x:v>
      </x:c>
      <x:c r="B55" t="str">
        <x:v>2023-01</x:v>
      </x:c>
      <x:c r="C55" t="str">
        <x:v>Sports</x:v>
      </x:c>
      <x:c r="D55" t="str">
        <x:v>Grocery</x:v>
      </x:c>
      <x:c r="E55" t="str">
        <x:v>QLD</x:v>
      </x:c>
      <x:c r="F55" s="11" t="n">
        <x:v>199870.84</x:v>
      </x:c>
      <x:c r="G55" s="13" t="n">
        <x:v>48179</x:v>
      </x:c>
      <x:c r="H55" s="11" t="n">
        <x:v>89739.43000000001</x:v>
      </x:c>
      <x:c r="I55" s="11" t="n">
        <x:v>187992.95</x:v>
      </x:c>
    </x:row>
    <x:row r="56">
      <x:c r="A56" t="n">
        <x:v>2023</x:v>
      </x:c>
      <x:c r="B56" t="str">
        <x:v>2023-01</x:v>
      </x:c>
      <x:c r="C56" t="str">
        <x:v>Sports</x:v>
      </x:c>
      <x:c r="D56" t="str">
        <x:v>Grocery</x:v>
      </x:c>
      <x:c r="E56" t="str">
        <x:v>VIC</x:v>
      </x:c>
      <x:c r="F56" s="11" t="n">
        <x:v>189969.97</x:v>
      </x:c>
      <x:c r="G56" s="13" t="n">
        <x:v>44930</x:v>
      </x:c>
      <x:c r="H56" s="11" t="n">
        <x:v>86616.81</x:v>
      </x:c>
      <x:c r="I56" s="11" t="n">
        <x:v>182413.84</x:v>
      </x:c>
    </x:row>
    <x:row r="57">
      <x:c r="A57" t="n">
        <x:v>2023</x:v>
      </x:c>
      <x:c r="B57" t="str">
        <x:v>2023-01</x:v>
      </x:c>
      <x:c r="C57" t="str">
        <x:v>Sports</x:v>
      </x:c>
      <x:c r="D57" t="str">
        <x:v>Hospitality</x:v>
      </x:c>
      <x:c r="E57" t="str">
        <x:v>NSW</x:v>
      </x:c>
      <x:c r="F57" s="11" t="n">
        <x:v>25836.68</x:v>
      </x:c>
      <x:c r="G57" s="13" t="n">
        <x:v>6660</x:v>
      </x:c>
      <x:c r="H57" s="11" t="n">
        <x:v>10537.36</x:v>
      </x:c>
      <x:c r="I57" s="11" t="n">
        <x:v>24514.8</x:v>
      </x:c>
    </x:row>
    <x:row r="58">
      <x:c r="A58" t="n">
        <x:v>2023</x:v>
      </x:c>
      <x:c r="B58" t="str">
        <x:v>2023-01</x:v>
      </x:c>
      <x:c r="C58" t="str">
        <x:v>Sports</x:v>
      </x:c>
      <x:c r="D58" t="str">
        <x:v>Hospitality</x:v>
      </x:c>
      <x:c r="E58" t="str">
        <x:v>QLD</x:v>
      </x:c>
      <x:c r="F58" s="11" t="n">
        <x:v>24567.03</x:v>
      </x:c>
      <x:c r="G58" s="13" t="n">
        <x:v>6536</x:v>
      </x:c>
      <x:c r="H58" s="11" t="n">
        <x:v>9777.36</x:v>
      </x:c>
      <x:c r="I58" s="11" t="n">
        <x:v>23546.73</x:v>
      </x:c>
    </x:row>
    <x:row r="59">
      <x:c r="A59" t="n">
        <x:v>2023</x:v>
      </x:c>
      <x:c r="B59" t="str">
        <x:v>2023-01</x:v>
      </x:c>
      <x:c r="C59" t="str">
        <x:v>Sports</x:v>
      </x:c>
      <x:c r="D59" t="str">
        <x:v>Hospitality</x:v>
      </x:c>
      <x:c r="E59" t="str">
        <x:v>VIC</x:v>
      </x:c>
      <x:c r="F59" s="11" t="n">
        <x:v>24504.8</x:v>
      </x:c>
      <x:c r="G59" s="13" t="n">
        <x:v>6469</x:v>
      </x:c>
      <x:c r="H59" s="11" t="n">
        <x:v>9789.11</x:v>
      </x:c>
      <x:c r="I59" s="11" t="n">
        <x:v>22798.33</x:v>
      </x:c>
    </x:row>
    <x:row r="60">
      <x:c r="A60" t="n">
        <x:v>2023</x:v>
      </x:c>
      <x:c r="B60" t="str">
        <x:v>2023-01</x:v>
      </x:c>
      <x:c r="C60" t="str">
        <x:v>Sports</x:v>
      </x:c>
      <x:c r="D60" t="str">
        <x:v>Independent retail</x:v>
      </x:c>
      <x:c r="E60" t="str">
        <x:v>NSW</x:v>
      </x:c>
      <x:c r="F60" s="11" t="n">
        <x:v>70756.5</x:v>
      </x:c>
      <x:c r="G60" s="13" t="n">
        <x:v>16516</x:v>
      </x:c>
      <x:c r="H60" s="11" t="n">
        <x:v>33220.49</x:v>
      </x:c>
      <x:c r="I60" s="11" t="n">
        <x:v>66454.87</x:v>
      </x:c>
    </x:row>
    <x:row r="61">
      <x:c r="A61" t="n">
        <x:v>2023</x:v>
      </x:c>
      <x:c r="B61" t="str">
        <x:v>2023-01</x:v>
      </x:c>
      <x:c r="C61" t="str">
        <x:v>Sports</x:v>
      </x:c>
      <x:c r="D61" t="str">
        <x:v>Independent retail</x:v>
      </x:c>
      <x:c r="E61" t="str">
        <x:v>QLD</x:v>
      </x:c>
      <x:c r="F61" s="11" t="n">
        <x:v>64687.67</x:v>
      </x:c>
      <x:c r="G61" s="13" t="n">
        <x:v>14314</x:v>
      </x:c>
      <x:c r="H61" s="11" t="n">
        <x:v>31908.72</x:v>
      </x:c>
      <x:c r="I61" s="11" t="n">
        <x:v>63886.25</x:v>
      </x:c>
    </x:row>
    <x:row r="62">
      <x:c r="A62" t="n">
        <x:v>2023</x:v>
      </x:c>
      <x:c r="B62" t="str">
        <x:v>2023-01</x:v>
      </x:c>
      <x:c r="C62" t="str">
        <x:v>Sports</x:v>
      </x:c>
      <x:c r="D62" t="str">
        <x:v>Independent retail</x:v>
      </x:c>
      <x:c r="E62" t="str">
        <x:v>VIC</x:v>
      </x:c>
      <x:c r="F62" s="11" t="n">
        <x:v>63028.44</x:v>
      </x:c>
      <x:c r="G62" s="13" t="n">
        <x:v>14545</x:v>
      </x:c>
      <x:c r="H62" s="11" t="n">
        <x:v>30351.87</x:v>
      </x:c>
      <x:c r="I62" s="11" t="n">
        <x:v>62044.55</x:v>
      </x:c>
    </x:row>
    <x:row r="63">
      <x:c r="A63" t="n">
        <x:v>2023</x:v>
      </x:c>
      <x:c r="B63" t="str">
        <x:v>2023-01</x:v>
      </x:c>
      <x:c r="C63" t="str">
        <x:v>Sports</x:v>
      </x:c>
      <x:c r="D63" t="str">
        <x:v>Petrol</x:v>
      </x:c>
      <x:c r="E63" t="str">
        <x:v>NSW</x:v>
      </x:c>
      <x:c r="F63" s="11" t="n">
        <x:v>72701.48</x:v>
      </x:c>
      <x:c r="G63" s="13" t="n">
        <x:v>15136</x:v>
      </x:c>
      <x:c r="H63" s="11" t="n">
        <x:v>38713.75</x:v>
      </x:c>
      <x:c r="I63" s="11" t="n">
        <x:v>72072.95</x:v>
      </x:c>
    </x:row>
    <x:row r="64">
      <x:c r="A64" t="n">
        <x:v>2023</x:v>
      </x:c>
      <x:c r="B64" t="str">
        <x:v>2023-01</x:v>
      </x:c>
      <x:c r="C64" t="str">
        <x:v>Sports</x:v>
      </x:c>
      <x:c r="D64" t="str">
        <x:v>Petrol</x:v>
      </x:c>
      <x:c r="E64" t="str">
        <x:v>QLD</x:v>
      </x:c>
      <x:c r="F64" s="11" t="n">
        <x:v>70952.35</x:v>
      </x:c>
      <x:c r="G64" s="13" t="n">
        <x:v>14682</x:v>
      </x:c>
      <x:c r="H64" s="11" t="n">
        <x:v>37240.71</x:v>
      </x:c>
      <x:c r="I64" s="11" t="n">
        <x:v>69238.81</x:v>
      </x:c>
    </x:row>
    <x:row r="65">
      <x:c r="A65" t="n">
        <x:v>2023</x:v>
      </x:c>
      <x:c r="B65" t="str">
        <x:v>2023-01</x:v>
      </x:c>
      <x:c r="C65" t="str">
        <x:v>Sports</x:v>
      </x:c>
      <x:c r="D65" t="str">
        <x:v>Petrol</x:v>
      </x:c>
      <x:c r="E65" t="str">
        <x:v>VIC</x:v>
      </x:c>
      <x:c r="F65" s="11" t="n">
        <x:v>69024.88</x:v>
      </x:c>
      <x:c r="G65" s="13" t="n">
        <x:v>13893</x:v>
      </x:c>
      <x:c r="H65" s="11" t="n">
        <x:v>36872.61</x:v>
      </x:c>
      <x:c r="I65" s="11" t="n">
        <x:v>67159.31</x:v>
      </x:c>
    </x:row>
    <x:row r="66">
      <x:c r="A66" t="n">
        <x:v>2023</x:v>
      </x:c>
      <x:c r="B66" t="str">
        <x:v>2023-01</x:v>
      </x:c>
      <x:c r="C66" t="str">
        <x:v>Water</x:v>
      </x:c>
      <x:c r="D66" t="str">
        <x:v>Convenience</x:v>
      </x:c>
      <x:c r="E66" t="str">
        <x:v>NSW</x:v>
      </x:c>
      <x:c r="F66" s="11" t="n">
        <x:v>94233.81999999999</x:v>
      </x:c>
      <x:c r="G66" s="13" t="n">
        <x:v>29308</x:v>
      </x:c>
      <x:c r="H66" s="11" t="n">
        <x:v>47772.340000000004</x:v>
      </x:c>
      <x:c r="I66" s="11" t="n">
        <x:v>93791.81</x:v>
      </x:c>
    </x:row>
    <x:row r="67">
      <x:c r="A67" t="n">
        <x:v>2023</x:v>
      </x:c>
      <x:c r="B67" t="str">
        <x:v>2023-01</x:v>
      </x:c>
      <x:c r="C67" t="str">
        <x:v>Water</x:v>
      </x:c>
      <x:c r="D67" t="str">
        <x:v>Convenience</x:v>
      </x:c>
      <x:c r="E67" t="str">
        <x:v>QLD</x:v>
      </x:c>
      <x:c r="F67" s="11" t="n">
        <x:v>91870.37</x:v>
      </x:c>
      <x:c r="G67" s="13" t="n">
        <x:v>29658</x:v>
      </x:c>
      <x:c r="H67" s="11" t="n">
        <x:v>44807.25</x:v>
      </x:c>
      <x:c r="I67" s="11" t="n">
        <x:v>90184.81999999999</x:v>
      </x:c>
    </x:row>
    <x:row r="68">
      <x:c r="A68" t="n">
        <x:v>2023</x:v>
      </x:c>
      <x:c r="B68" t="str">
        <x:v>2023-01</x:v>
      </x:c>
      <x:c r="C68" t="str">
        <x:v>Water</x:v>
      </x:c>
      <x:c r="D68" t="str">
        <x:v>Convenience</x:v>
      </x:c>
      <x:c r="E68" t="str">
        <x:v>VIC</x:v>
      </x:c>
      <x:c r="F68" s="11" t="n">
        <x:v>90038.48</x:v>
      </x:c>
      <x:c r="G68" s="13" t="n">
        <x:v>28662</x:v>
      </x:c>
      <x:c r="H68" s="11" t="n">
        <x:v>44906.96</x:v>
      </x:c>
      <x:c r="I68" s="11" t="n">
        <x:v>87516.11</x:v>
      </x:c>
    </x:row>
    <x:row r="69">
      <x:c r="A69" t="n">
        <x:v>2023</x:v>
      </x:c>
      <x:c r="B69" t="str">
        <x:v>2023-01</x:v>
      </x:c>
      <x:c r="C69" t="str">
        <x:v>Water</x:v>
      </x:c>
      <x:c r="D69" t="str">
        <x:v>Grocery</x:v>
      </x:c>
      <x:c r="E69" t="str">
        <x:v>NSW</x:v>
      </x:c>
      <x:c r="F69" s="11" t="n">
        <x:v>240043.01</x:v>
      </x:c>
      <x:c r="G69" s="13" t="n">
        <x:v>92753</x:v>
      </x:c>
      <x:c r="H69" s="11" t="n">
        <x:v>95862.65</x:v>
      </x:c>
      <x:c r="I69" s="11" t="n">
        <x:v>234148.18</x:v>
      </x:c>
    </x:row>
    <x:row r="70">
      <x:c r="A70" t="n">
        <x:v>2023</x:v>
      </x:c>
      <x:c r="B70" t="str">
        <x:v>2023-01</x:v>
      </x:c>
      <x:c r="C70" t="str">
        <x:v>Water</x:v>
      </x:c>
      <x:c r="D70" t="str">
        <x:v>Grocery</x:v>
      </x:c>
      <x:c r="E70" t="str">
        <x:v>QLD</x:v>
      </x:c>
      <x:c r="F70" s="11" t="n">
        <x:v>233446.19</x:v>
      </x:c>
      <x:c r="G70" s="13" t="n">
        <x:v>85944</x:v>
      </x:c>
      <x:c r="H70" s="11" t="n">
        <x:v>99401.99</x:v>
      </x:c>
      <x:c r="I70" s="11" t="n">
        <x:v>225134.95</x:v>
      </x:c>
    </x:row>
    <x:row r="71">
      <x:c r="A71" t="n">
        <x:v>2023</x:v>
      </x:c>
      <x:c r="B71" t="str">
        <x:v>2023-01</x:v>
      </x:c>
      <x:c r="C71" t="str">
        <x:v>Water</x:v>
      </x:c>
      <x:c r="D71" t="str">
        <x:v>Grocery</x:v>
      </x:c>
      <x:c r="E71" t="str">
        <x:v>VIC</x:v>
      </x:c>
      <x:c r="F71" s="11" t="n">
        <x:v>226318.33</x:v>
      </x:c>
      <x:c r="G71" s="13" t="n">
        <x:v>83730</x:v>
      </x:c>
      <x:c r="H71" s="11" t="n">
        <x:v>94495.57</x:v>
      </x:c>
      <x:c r="I71" s="11" t="n">
        <x:v>218387.96</x:v>
      </x:c>
    </x:row>
    <x:row r="72">
      <x:c r="A72" t="n">
        <x:v>2023</x:v>
      </x:c>
      <x:c r="B72" t="str">
        <x:v>2023-01</x:v>
      </x:c>
      <x:c r="C72" t="str">
        <x:v>Water</x:v>
      </x:c>
      <x:c r="D72" t="str">
        <x:v>Hospitality</x:v>
      </x:c>
      <x:c r="E72" t="str">
        <x:v>NSW</x:v>
      </x:c>
      <x:c r="F72" s="11" t="n">
        <x:v>30107.94</x:v>
      </x:c>
      <x:c r="G72" s="13" t="n">
        <x:v>12271</x:v>
      </x:c>
      <x:c r="H72" s="11" t="n">
        <x:v>10992.54</x:v>
      </x:c>
      <x:c r="I72" s="11" t="n">
        <x:v>29245.63</x:v>
      </x:c>
    </x:row>
    <x:row r="73">
      <x:c r="A73" t="n">
        <x:v>2023</x:v>
      </x:c>
      <x:c r="B73" t="str">
        <x:v>2023-01</x:v>
      </x:c>
      <x:c r="C73" t="str">
        <x:v>Water</x:v>
      </x:c>
      <x:c r="D73" t="str">
        <x:v>Hospitality</x:v>
      </x:c>
      <x:c r="E73" t="str">
        <x:v>QLD</x:v>
      </x:c>
      <x:c r="F73" s="11" t="n">
        <x:v>29493.86</x:v>
      </x:c>
      <x:c r="G73" s="13" t="n">
        <x:v>11568</x:v>
      </x:c>
      <x:c r="H73" s="11" t="n">
        <x:v>11179.9</x:v>
      </x:c>
      <x:c r="I73" s="11" t="n">
        <x:v>28201.84</x:v>
      </x:c>
    </x:row>
    <x:row r="74">
      <x:c r="A74" t="n">
        <x:v>2023</x:v>
      </x:c>
      <x:c r="B74" t="str">
        <x:v>2023-01</x:v>
      </x:c>
      <x:c r="C74" t="str">
        <x:v>Water</x:v>
      </x:c>
      <x:c r="D74" t="str">
        <x:v>Hospitality</x:v>
      </x:c>
      <x:c r="E74" t="str">
        <x:v>VIC</x:v>
      </x:c>
      <x:c r="F74" s="11" t="n">
        <x:v>29179.93</x:v>
      </x:c>
      <x:c r="G74" s="13" t="n">
        <x:v>11591</x:v>
      </x:c>
      <x:c r="H74" s="11" t="n">
        <x:v>10974.25</x:v>
      </x:c>
      <x:c r="I74" s="11" t="n">
        <x:v>27329.96</x:v>
      </x:c>
    </x:row>
    <x:row r="75">
      <x:c r="A75" t="n">
        <x:v>2023</x:v>
      </x:c>
      <x:c r="B75" t="str">
        <x:v>2023-01</x:v>
      </x:c>
      <x:c r="C75" t="str">
        <x:v>Water</x:v>
      </x:c>
      <x:c r="D75" t="str">
        <x:v>Independent retail</x:v>
      </x:c>
      <x:c r="E75" t="str">
        <x:v>NSW</x:v>
      </x:c>
      <x:c r="F75" s="11" t="n">
        <x:v>83508.25</x:v>
      </x:c>
      <x:c r="G75" s="13" t="n">
        <x:v>29724</x:v>
      </x:c>
      <x:c r="H75" s="11" t="n">
        <x:v>36363.73</x:v>
      </x:c>
      <x:c r="I75" s="11" t="n">
        <x:v>79594.54</x:v>
      </x:c>
    </x:row>
    <x:row r="76">
      <x:c r="A76" t="n">
        <x:v>2023</x:v>
      </x:c>
      <x:c r="B76" t="str">
        <x:v>2023-01</x:v>
      </x:c>
      <x:c r="C76" t="str">
        <x:v>Water</x:v>
      </x:c>
      <x:c r="D76" t="str">
        <x:v>Independent retail</x:v>
      </x:c>
      <x:c r="E76" t="str">
        <x:v>QLD</x:v>
      </x:c>
      <x:c r="F76" s="11" t="n">
        <x:v>79260.22</x:v>
      </x:c>
      <x:c r="G76" s="13" t="n">
        <x:v>29271</x:v>
      </x:c>
      <x:c r="H76" s="11" t="n">
        <x:v>33107.5</x:v>
      </x:c>
      <x:c r="I76" s="11" t="n">
        <x:v>76550.66</x:v>
      </x:c>
    </x:row>
    <x:row r="77">
      <x:c r="A77" t="n">
        <x:v>2023</x:v>
      </x:c>
      <x:c r="B77" t="str">
        <x:v>2023-01</x:v>
      </x:c>
      <x:c r="C77" t="str">
        <x:v>Water</x:v>
      </x:c>
      <x:c r="D77" t="str">
        <x:v>Independent retail</x:v>
      </x:c>
      <x:c r="E77" t="str">
        <x:v>VIC</x:v>
      </x:c>
      <x:c r="F77" s="11" t="n">
        <x:v>76167.98</x:v>
      </x:c>
      <x:c r="G77" s="13" t="n">
        <x:v>27562</x:v>
      </x:c>
      <x:c r="H77" s="11" t="n">
        <x:v>32424.1</x:v>
      </x:c>
      <x:c r="I77" s="11" t="n">
        <x:v>74259.25</x:v>
      </x:c>
    </x:row>
    <x:row r="78">
      <x:c r="A78" t="n">
        <x:v>2023</x:v>
      </x:c>
      <x:c r="B78" t="str">
        <x:v>2023-01</x:v>
      </x:c>
      <x:c r="C78" t="str">
        <x:v>Water</x:v>
      </x:c>
      <x:c r="D78" t="str">
        <x:v>Petrol</x:v>
      </x:c>
      <x:c r="E78" t="str">
        <x:v>NSW</x:v>
      </x:c>
      <x:c r="F78" s="11" t="n">
        <x:v>87344.37</x:v>
      </x:c>
      <x:c r="G78" s="13" t="n">
        <x:v>29544</x:v>
      </x:c>
      <x:c r="H78" s="11" t="n">
        <x:v>40386.09</x:v>
      </x:c>
      <x:c r="I78" s="11" t="n">
        <x:v>85680.53</x:v>
      </x:c>
    </x:row>
    <x:row r="79">
      <x:c r="A79" t="n">
        <x:v>2023</x:v>
      </x:c>
      <x:c r="B79" t="str">
        <x:v>2023-01</x:v>
      </x:c>
      <x:c r="C79" t="str">
        <x:v>Water</x:v>
      </x:c>
      <x:c r="D79" t="str">
        <x:v>Petrol</x:v>
      </x:c>
      <x:c r="E79" t="str">
        <x:v>QLD</x:v>
      </x:c>
      <x:c r="F79" s="11" t="n">
        <x:v>86004.41</x:v>
      </x:c>
      <x:c r="G79" s="13" t="n">
        <x:v>29424</x:v>
      </x:c>
      <x:c r="H79" s="11" t="n">
        <x:v>40095.37</x:v>
      </x:c>
      <x:c r="I79" s="11" t="n">
        <x:v>82415.94</x:v>
      </x:c>
    </x:row>
    <x:row r="80">
      <x:c r="A80" t="n">
        <x:v>2023</x:v>
      </x:c>
      <x:c r="B80" t="str">
        <x:v>2023-01</x:v>
      </x:c>
      <x:c r="C80" t="str">
        <x:v>Water</x:v>
      </x:c>
      <x:c r="D80" t="str">
        <x:v>Petrol</x:v>
      </x:c>
      <x:c r="E80" t="str">
        <x:v>VIC</x:v>
      </x:c>
      <x:c r="F80" s="11" t="n">
        <x:v>85152.15</x:v>
      </x:c>
      <x:c r="G80" s="13" t="n">
        <x:v>28900</x:v>
      </x:c>
      <x:c r="H80" s="11" t="n">
        <x:v>39387.35</x:v>
      </x:c>
      <x:c r="I80" s="11" t="n">
        <x:v>79935.94</x:v>
      </x:c>
    </x:row>
    <x:row r="81">
      <x:c r="A81" t="n">
        <x:v>2023</x:v>
      </x:c>
      <x:c r="B81" t="str">
        <x:v>2023-02</x:v>
      </x:c>
      <x:c r="C81" t="str">
        <x:v>Coffee</x:v>
      </x:c>
      <x:c r="D81" t="str">
        <x:v>Convenience</x:v>
      </x:c>
      <x:c r="E81" t="str">
        <x:v>NSW</x:v>
      </x:c>
      <x:c r="F81" s="11" t="n">
        <x:v>28142.48</x:v>
      </x:c>
      <x:c r="G81" s="13" t="n">
        <x:v>5815</x:v>
      </x:c>
      <x:c r="H81" s="11" t="n">
        <x:v>11630.72</x:v>
      </x:c>
      <x:c r="I81" s="11" t="n">
        <x:v>28429.66</x:v>
      </x:c>
    </x:row>
    <x:row r="82">
      <x:c r="A82" t="n">
        <x:v>2023</x:v>
      </x:c>
      <x:c r="B82" t="str">
        <x:v>2023-02</x:v>
      </x:c>
      <x:c r="C82" t="str">
        <x:v>Coffee</x:v>
      </x:c>
      <x:c r="D82" t="str">
        <x:v>Convenience</x:v>
      </x:c>
      <x:c r="E82" t="str">
        <x:v>QLD</x:v>
      </x:c>
      <x:c r="F82" s="11" t="n">
        <x:v>28394.73</x:v>
      </x:c>
      <x:c r="G82" s="13" t="n">
        <x:v>5606</x:v>
      </x:c>
      <x:c r="H82" s="11" t="n">
        <x:v>12448.92</x:v>
      </x:c>
      <x:c r="I82" s="11" t="n">
        <x:v>27344.47</x:v>
      </x:c>
    </x:row>
    <x:row r="83">
      <x:c r="A83" t="n">
        <x:v>2023</x:v>
      </x:c>
      <x:c r="B83" t="str">
        <x:v>2023-02</x:v>
      </x:c>
      <x:c r="C83" t="str">
        <x:v>Coffee</x:v>
      </x:c>
      <x:c r="D83" t="str">
        <x:v>Convenience</x:v>
      </x:c>
      <x:c r="E83" t="str">
        <x:v>VIC</x:v>
      </x:c>
      <x:c r="F83" s="11" t="n">
        <x:v>26728.85</x:v>
      </x:c>
      <x:c r="G83" s="13" t="n">
        <x:v>5453</x:v>
      </x:c>
      <x:c r="H83" s="11" t="n">
        <x:v>11237.22</x:v>
      </x:c>
      <x:c r="I83" s="11" t="n">
        <x:v>26501.2</x:v>
      </x:c>
    </x:row>
    <x:row r="84">
      <x:c r="A84" t="n">
        <x:v>2023</x:v>
      </x:c>
      <x:c r="B84" t="str">
        <x:v>2023-02</x:v>
      </x:c>
      <x:c r="C84" t="str">
        <x:v>Coffee</x:v>
      </x:c>
      <x:c r="D84" t="str">
        <x:v>Grocery</x:v>
      </x:c>
      <x:c r="E84" t="str">
        <x:v>NSW</x:v>
      </x:c>
      <x:c r="F84" s="11" t="n">
        <x:v>72986.21</x:v>
      </x:c>
      <x:c r="G84" s="13" t="n">
        <x:v>16376</x:v>
      </x:c>
      <x:c r="H84" s="11" t="n">
        <x:v>26158.87</x:v>
      </x:c>
      <x:c r="I84" s="11" t="n">
        <x:v>70564.93</x:v>
      </x:c>
    </x:row>
    <x:row r="85">
      <x:c r="A85" t="n">
        <x:v>2023</x:v>
      </x:c>
      <x:c r="B85" t="str">
        <x:v>2023-02</x:v>
      </x:c>
      <x:c r="C85" t="str">
        <x:v>Coffee</x:v>
      </x:c>
      <x:c r="D85" t="str">
        <x:v>Grocery</x:v>
      </x:c>
      <x:c r="E85" t="str">
        <x:v>QLD</x:v>
      </x:c>
      <x:c r="F85" s="11" t="n">
        <x:v>67907.3</x:v>
      </x:c>
      <x:c r="G85" s="13" t="n">
        <x:v>15926</x:v>
      </x:c>
      <x:c r="H85" s="11" t="n">
        <x:v>22148.91</x:v>
      </x:c>
      <x:c r="I85" s="11" t="n">
        <x:v>67864.87</x:v>
      </x:c>
    </x:row>
    <x:row r="86">
      <x:c r="A86" t="n">
        <x:v>2023</x:v>
      </x:c>
      <x:c r="B86" t="str">
        <x:v>2023-02</x:v>
      </x:c>
      <x:c r="C86" t="str">
        <x:v>Coffee</x:v>
      </x:c>
      <x:c r="D86" t="str">
        <x:v>Grocery</x:v>
      </x:c>
      <x:c r="E86" t="str">
        <x:v>VIC</x:v>
      </x:c>
      <x:c r="F86" s="11" t="n">
        <x:v>64973.36</x:v>
      </x:c>
      <x:c r="G86" s="13" t="n">
        <x:v>15017</x:v>
      </x:c>
      <x:c r="H86" s="11" t="n">
        <x:v>22093.95</x:v>
      </x:c>
      <x:c r="I86" s="11" t="n">
        <x:v>65832.81</x:v>
      </x:c>
    </x:row>
    <x:row r="87">
      <x:c r="A87" t="n">
        <x:v>2023</x:v>
      </x:c>
      <x:c r="B87" t="str">
        <x:v>2023-02</x:v>
      </x:c>
      <x:c r="C87" t="str">
        <x:v>Coffee</x:v>
      </x:c>
      <x:c r="D87" t="str">
        <x:v>Hospitality</x:v>
      </x:c>
      <x:c r="E87" t="str">
        <x:v>NSW</x:v>
      </x:c>
      <x:c r="F87" s="11" t="n">
        <x:v>9076.05</x:v>
      </x:c>
      <x:c r="G87" s="13" t="n">
        <x:v>2277</x:v>
      </x:c>
      <x:c r="H87" s="11" t="n">
        <x:v>2556.24</x:v>
      </x:c>
      <x:c r="I87" s="11" t="n">
        <x:v>8840.57</x:v>
      </x:c>
    </x:row>
    <x:row r="88">
      <x:c r="A88" t="n">
        <x:v>2023</x:v>
      </x:c>
      <x:c r="B88" t="str">
        <x:v>2023-02</x:v>
      </x:c>
      <x:c r="C88" t="str">
        <x:v>Coffee</x:v>
      </x:c>
      <x:c r="D88" t="str">
        <x:v>Hospitality</x:v>
      </x:c>
      <x:c r="E88" t="str">
        <x:v>QLD</x:v>
      </x:c>
      <x:c r="F88" s="11" t="n">
        <x:v>8358.82</x:v>
      </x:c>
      <x:c r="G88" s="13" t="n">
        <x:v>2165</x:v>
      </x:c>
      <x:c r="H88" s="11" t="n">
        <x:v>2182.57</x:v>
      </x:c>
      <x:c r="I88" s="11" t="n">
        <x:v>8525.210000000001</x:v>
      </x:c>
    </x:row>
    <x:row r="89">
      <x:c r="A89" t="n">
        <x:v>2023</x:v>
      </x:c>
      <x:c r="B89" t="str">
        <x:v>2023-02</x:v>
      </x:c>
      <x:c r="C89" t="str">
        <x:v>Coffee</x:v>
      </x:c>
      <x:c r="D89" t="str">
        <x:v>Hospitality</x:v>
      </x:c>
      <x:c r="E89" t="str">
        <x:v>VIC</x:v>
      </x:c>
      <x:c r="F89" s="11" t="n">
        <x:v>8037.5</x:v>
      </x:c>
      <x:c r="G89" s="13" t="n">
        <x:v>2058</x:v>
      </x:c>
      <x:c r="H89" s="11" t="n">
        <x:v>2160.24</x:v>
      </x:c>
      <x:c r="I89" s="11" t="n">
        <x:v>8282.75</x:v>
      </x:c>
    </x:row>
    <x:row r="90">
      <x:c r="A90" t="n">
        <x:v>2023</x:v>
      </x:c>
      <x:c r="B90" t="str">
        <x:v>2023-02</x:v>
      </x:c>
      <x:c r="C90" t="str">
        <x:v>Coffee</x:v>
      </x:c>
      <x:c r="D90" t="str">
        <x:v>Independent retail</x:v>
      </x:c>
      <x:c r="E90" t="str">
        <x:v>NSW</x:v>
      </x:c>
      <x:c r="F90" s="11" t="n">
        <x:v>24127.3</x:v>
      </x:c>
      <x:c r="G90" s="13" t="n">
        <x:v>5508</x:v>
      </x:c>
      <x:c r="H90" s="11" t="n">
        <x:v>8392.11</x:v>
      </x:c>
      <x:c r="I90" s="11" t="n">
        <x:v>23995.71</x:v>
      </x:c>
    </x:row>
    <x:row r="91">
      <x:c r="A91" t="n">
        <x:v>2023</x:v>
      </x:c>
      <x:c r="B91" t="str">
        <x:v>2023-02</x:v>
      </x:c>
      <x:c r="C91" t="str">
        <x:v>Coffee</x:v>
      </x:c>
      <x:c r="D91" t="str">
        <x:v>Independent retail</x:v>
      </x:c>
      <x:c r="E91" t="str">
        <x:v>QLD</x:v>
      </x:c>
      <x:c r="F91" s="11" t="n">
        <x:v>23786.62</x:v>
      </x:c>
      <x:c r="G91" s="13" t="n">
        <x:v>5167</x:v>
      </x:c>
      <x:c r="H91" s="11" t="n">
        <x:v>9049.18</x:v>
      </x:c>
      <x:c r="I91" s="11" t="n">
        <x:v>23076.34</x:v>
      </x:c>
    </x:row>
    <x:row r="92">
      <x:c r="A92" t="n">
        <x:v>2023</x:v>
      </x:c>
      <x:c r="B92" t="str">
        <x:v>2023-02</x:v>
      </x:c>
      <x:c r="C92" t="str">
        <x:v>Coffee</x:v>
      </x:c>
      <x:c r="D92" t="str">
        <x:v>Independent retail</x:v>
      </x:c>
      <x:c r="E92" t="str">
        <x:v>VIC</x:v>
      </x:c>
      <x:c r="F92" s="11" t="n">
        <x:v>22543.72</x:v>
      </x:c>
      <x:c r="G92" s="13" t="n">
        <x:v>4978</x:v>
      </x:c>
      <x:c r="H92" s="11" t="n">
        <x:v>8302.48</x:v>
      </x:c>
      <x:c r="I92" s="11" t="n">
        <x:v>22357.75</x:v>
      </x:c>
    </x:row>
    <x:row r="93">
      <x:c r="A93" t="n">
        <x:v>2023</x:v>
      </x:c>
      <x:c r="B93" t="str">
        <x:v>2023-02</x:v>
      </x:c>
      <x:c r="C93" t="str">
        <x:v>Coffee</x:v>
      </x:c>
      <x:c r="D93" t="str">
        <x:v>Petrol</x:v>
      </x:c>
      <x:c r="E93" t="str">
        <x:v>NSW</x:v>
      </x:c>
      <x:c r="F93" s="11" t="n">
        <x:v>26065</x:v>
      </x:c>
      <x:c r="G93" s="13" t="n">
        <x:v>5218</x:v>
      </x:c>
      <x:c r="H93" s="11" t="n">
        <x:v>11208.4</x:v>
      </x:c>
      <x:c r="I93" s="11" t="n">
        <x:v>25865.05</x:v>
      </x:c>
    </x:row>
    <x:row r="94">
      <x:c r="A94" t="n">
        <x:v>2023</x:v>
      </x:c>
      <x:c r="B94" t="str">
        <x:v>2023-02</x:v>
      </x:c>
      <x:c r="C94" t="str">
        <x:v>Coffee</x:v>
      </x:c>
      <x:c r="D94" t="str">
        <x:v>Petrol</x:v>
      </x:c>
      <x:c r="E94" t="str">
        <x:v>QLD</x:v>
      </x:c>
      <x:c r="F94" s="11" t="n">
        <x:v>25628.7</x:v>
      </x:c>
      <x:c r="G94" s="13" t="n">
        <x:v>5152</x:v>
      </x:c>
      <x:c r="H94" s="11" t="n">
        <x:v>10966.42</x:v>
      </x:c>
      <x:c r="I94" s="11" t="n">
        <x:v>24855.010000000002</x:v>
      </x:c>
    </x:row>
    <x:row r="95">
      <x:c r="A95" t="n">
        <x:v>2023</x:v>
      </x:c>
      <x:c r="B95" t="str">
        <x:v>2023-02</x:v>
      </x:c>
      <x:c r="C95" t="str">
        <x:v>Coffee</x:v>
      </x:c>
      <x:c r="D95" t="str">
        <x:v>Petrol</x:v>
      </x:c>
      <x:c r="E95" t="str">
        <x:v>VIC</x:v>
      </x:c>
      <x:c r="F95" s="11" t="n">
        <x:v>24697.91</x:v>
      </x:c>
      <x:c r="G95" s="13" t="n">
        <x:v>4922</x:v>
      </x:c>
      <x:c r="H95" s="11" t="n">
        <x:v>10731.32</x:v>
      </x:c>
      <x:c r="I95" s="11" t="n">
        <x:v>24094.46</x:v>
      </x:c>
    </x:row>
    <x:row r="96">
      <x:c r="A96" t="n">
        <x:v>2023</x:v>
      </x:c>
      <x:c r="B96" t="str">
        <x:v>2023-02</x:v>
      </x:c>
      <x:c r="C96" t="str">
        <x:v>Energy</x:v>
      </x:c>
      <x:c r="D96" t="str">
        <x:v>Convenience</x:v>
      </x:c>
      <x:c r="E96" t="str">
        <x:v>NSW</x:v>
      </x:c>
      <x:c r="F96" s="11" t="n">
        <x:v>70015.16</x:v>
      </x:c>
      <x:c r="G96" s="13" t="n">
        <x:v>13351</x:v>
      </x:c>
      <x:c r="H96" s="11" t="n">
        <x:v>42404.96</x:v>
      </x:c>
      <x:c r="I96" s="11" t="n">
        <x:v>104641.24</x:v>
      </x:c>
    </x:row>
    <x:row r="97">
      <x:c r="A97" t="n">
        <x:v>2023</x:v>
      </x:c>
      <x:c r="B97" t="str">
        <x:v>2023-02</x:v>
      </x:c>
      <x:c r="C97" t="str">
        <x:v>Energy</x:v>
      </x:c>
      <x:c r="D97" t="str">
        <x:v>Convenience</x:v>
      </x:c>
      <x:c r="E97" t="str">
        <x:v>QLD</x:v>
      </x:c>
      <x:c r="F97" s="11" t="n">
        <x:v>66624.52</x:v>
      </x:c>
      <x:c r="G97" s="13" t="n">
        <x:v>12286</x:v>
      </x:c>
      <x:c r="H97" s="11" t="n">
        <x:v>40647.16</x:v>
      </x:c>
      <x:c r="I97" s="11" t="n">
        <x:v>100620.15</x:v>
      </x:c>
    </x:row>
    <x:row r="98">
      <x:c r="A98" t="n">
        <x:v>2023</x:v>
      </x:c>
      <x:c r="B98" t="str">
        <x:v>2023-02</x:v>
      </x:c>
      <x:c r="C98" t="str">
        <x:v>Energy</x:v>
      </x:c>
      <x:c r="D98" t="str">
        <x:v>Convenience</x:v>
      </x:c>
      <x:c r="E98" t="str">
        <x:v>VIC</x:v>
      </x:c>
      <x:c r="F98" s="11" t="n">
        <x:v>63431.86</x:v>
      </x:c>
      <x:c r="G98" s="13" t="n">
        <x:v>11911</x:v>
      </x:c>
      <x:c r="H98" s="11" t="n">
        <x:v>38734.5</x:v>
      </x:c>
      <x:c r="I98" s="11" t="n">
        <x:v>97592.96</x:v>
      </x:c>
    </x:row>
    <x:row r="99">
      <x:c r="A99" t="n">
        <x:v>2023</x:v>
      </x:c>
      <x:c r="B99" t="str">
        <x:v>2023-02</x:v>
      </x:c>
      <x:c r="C99" t="str">
        <x:v>Energy</x:v>
      </x:c>
      <x:c r="D99" t="str">
        <x:v>Grocery</x:v>
      </x:c>
      <x:c r="E99" t="str">
        <x:v>NSW</x:v>
      </x:c>
      <x:c r="F99" s="11" t="n">
        <x:v>278836.41</x:v>
      </x:c>
      <x:c r="G99" s="13" t="n">
        <x:v>61150</x:v>
      </x:c>
      <x:c r="H99" s="11" t="n">
        <x:v>147547.61</x:v>
      </x:c>
      <x:c r="I99" s="11" t="n">
        <x:v>260629.81</x:v>
      </x:c>
    </x:row>
    <x:row r="100">
      <x:c r="A100" t="n">
        <x:v>2023</x:v>
      </x:c>
      <x:c r="B100" t="str">
        <x:v>2023-02</x:v>
      </x:c>
      <x:c r="C100" t="str">
        <x:v>Energy</x:v>
      </x:c>
      <x:c r="D100" t="str">
        <x:v>Grocery</x:v>
      </x:c>
      <x:c r="E100" t="str">
        <x:v>QLD</x:v>
      </x:c>
      <x:c r="F100" s="11" t="n">
        <x:v>261845.45</x:v>
      </x:c>
      <x:c r="G100" s="13" t="n">
        <x:v>57553</x:v>
      </x:c>
      <x:c r="H100" s="11" t="n">
        <x:v>141468.05</x:v>
      </x:c>
      <x:c r="I100" s="11" t="n">
        <x:v>250573.4</x:v>
      </x:c>
    </x:row>
    <x:row r="101">
      <x:c r="A101" t="n">
        <x:v>2023</x:v>
      </x:c>
      <x:c r="B101" t="str">
        <x:v>2023-02</x:v>
      </x:c>
      <x:c r="C101" t="str">
        <x:v>Energy</x:v>
      </x:c>
      <x:c r="D101" t="str">
        <x:v>Grocery</x:v>
      </x:c>
      <x:c r="E101" t="str">
        <x:v>VIC</x:v>
      </x:c>
      <x:c r="F101" s="11" t="n">
        <x:v>258600.45</x:v>
      </x:c>
      <x:c r="G101" s="13" t="n">
        <x:v>56760</x:v>
      </x:c>
      <x:c r="H101" s="11" t="n">
        <x:v>137477.81</x:v>
      </x:c>
      <x:c r="I101" s="11" t="n">
        <x:v>243085.81</x:v>
      </x:c>
    </x:row>
    <x:row r="102">
      <x:c r="A102" t="n">
        <x:v>2023</x:v>
      </x:c>
      <x:c r="B102" t="str">
        <x:v>2023-02</x:v>
      </x:c>
      <x:c r="C102" t="str">
        <x:v>Energy</x:v>
      </x:c>
      <x:c r="D102" t="str">
        <x:v>Hospitality</x:v>
      </x:c>
      <x:c r="E102" t="str">
        <x:v>NSW</x:v>
      </x:c>
      <x:c r="F102" s="11" t="n">
        <x:v>35105.54</x:v>
      </x:c>
      <x:c r="G102" s="13" t="n">
        <x:v>8452</x:v>
      </x:c>
      <x:c r="H102" s="11" t="n">
        <x:v>17191.22</x:v>
      </x:c>
      <x:c r="I102" s="11" t="n">
        <x:v>32636.04</x:v>
      </x:c>
    </x:row>
    <x:row r="103">
      <x:c r="A103" t="n">
        <x:v>2023</x:v>
      </x:c>
      <x:c r="B103" t="str">
        <x:v>2023-02</x:v>
      </x:c>
      <x:c r="C103" t="str">
        <x:v>Energy</x:v>
      </x:c>
      <x:c r="D103" t="str">
        <x:v>Hospitality</x:v>
      </x:c>
      <x:c r="E103" t="str">
        <x:v>QLD</x:v>
      </x:c>
      <x:c r="F103" s="11" t="n">
        <x:v>32277.52</x:v>
      </x:c>
      <x:c r="G103" s="13" t="n">
        <x:v>7641</x:v>
      </x:c>
      <x:c r="H103" s="11" t="n">
        <x:v>16296.4</x:v>
      </x:c>
      <x:c r="I103" s="11" t="n">
        <x:v>31373.14</x:v>
      </x:c>
    </x:row>
    <x:row r="104">
      <x:c r="A104" t="n">
        <x:v>2023</x:v>
      </x:c>
      <x:c r="B104" t="str">
        <x:v>2023-02</x:v>
      </x:c>
      <x:c r="C104" t="str">
        <x:v>Energy</x:v>
      </x:c>
      <x:c r="D104" t="str">
        <x:v>Hospitality</x:v>
      </x:c>
      <x:c r="E104" t="str">
        <x:v>VIC</x:v>
      </x:c>
      <x:c r="F104" s="11" t="n">
        <x:v>31953.62</x:v>
      </x:c>
      <x:c r="G104" s="13" t="n">
        <x:v>7739</x:v>
      </x:c>
      <x:c r="H104" s="11" t="n">
        <x:v>15930.78</x:v>
      </x:c>
      <x:c r="I104" s="11" t="n">
        <x:v>30422.12</x:v>
      </x:c>
    </x:row>
    <x:row r="105">
      <x:c r="A105" t="n">
        <x:v>2023</x:v>
      </x:c>
      <x:c r="B105" t="str">
        <x:v>2023-02</x:v>
      </x:c>
      <x:c r="C105" t="str">
        <x:v>Energy</x:v>
      </x:c>
      <x:c r="D105" t="str">
        <x:v>Independent retail</x:v>
      </x:c>
      <x:c r="E105" t="str">
        <x:v>NSW</x:v>
      </x:c>
      <x:c r="F105" s="11" t="n">
        <x:v>92751.41</x:v>
      </x:c>
      <x:c r="G105" s="13" t="n">
        <x:v>19675</x:v>
      </x:c>
      <x:c r="H105" s="11" t="n">
        <x:v>52128.97</x:v>
      </x:c>
      <x:c r="I105" s="11" t="n">
        <x:v>88574.94</x:v>
      </x:c>
    </x:row>
    <x:row r="106">
      <x:c r="A106" t="n">
        <x:v>2023</x:v>
      </x:c>
      <x:c r="B106" t="str">
        <x:v>2023-02</x:v>
      </x:c>
      <x:c r="C106" t="str">
        <x:v>Energy</x:v>
      </x:c>
      <x:c r="D106" t="str">
        <x:v>Independent retail</x:v>
      </x:c>
      <x:c r="E106" t="str">
        <x:v>QLD</x:v>
      </x:c>
      <x:c r="F106" s="11" t="n">
        <x:v>89959.41</x:v>
      </x:c>
      <x:c r="G106" s="13" t="n">
        <x:v>18699</x:v>
      </x:c>
      <x:c r="H106" s="11" t="n">
        <x:v>49608.45</x:v>
      </x:c>
      <x:c r="I106" s="11" t="n">
        <x:v>85153.26</x:v>
      </x:c>
    </x:row>
    <x:row r="107">
      <x:c r="A107" t="n">
        <x:v>2023</x:v>
      </x:c>
      <x:c r="B107" t="str">
        <x:v>2023-02</x:v>
      </x:c>
      <x:c r="C107" t="str">
        <x:v>Energy</x:v>
      </x:c>
      <x:c r="D107" t="str">
        <x:v>Independent retail</x:v>
      </x:c>
      <x:c r="E107" t="str">
        <x:v>VIC</x:v>
      </x:c>
      <x:c r="F107" s="11" t="n">
        <x:v>87871.01</x:v>
      </x:c>
      <x:c r="G107" s="13" t="n">
        <x:v>18014</x:v>
      </x:c>
      <x:c r="H107" s="11" t="n">
        <x:v>49313.33</x:v>
      </x:c>
      <x:c r="I107" s="11" t="n">
        <x:v>82618.58</x:v>
      </x:c>
    </x:row>
    <x:row r="108">
      <x:c r="A108" t="n">
        <x:v>2023</x:v>
      </x:c>
      <x:c r="B108" t="str">
        <x:v>2023-02</x:v>
      </x:c>
      <x:c r="C108" t="str">
        <x:v>Energy</x:v>
      </x:c>
      <x:c r="D108" t="str">
        <x:v>Petrol</x:v>
      </x:c>
      <x:c r="E108" t="str">
        <x:v>NSW</x:v>
      </x:c>
      <x:c r="F108" s="11" t="n">
        <x:v>98586.03</x:v>
      </x:c>
      <x:c r="G108" s="13" t="n">
        <x:v>18884</x:v>
      </x:c>
      <x:c r="H108" s="11" t="n">
        <x:v>57953.51</x:v>
      </x:c>
      <x:c r="I108" s="11" t="n">
        <x:v>95430.87</x:v>
      </x:c>
    </x:row>
    <x:row r="109">
      <x:c r="A109" t="n">
        <x:v>2023</x:v>
      </x:c>
      <x:c r="B109" t="str">
        <x:v>2023-02</x:v>
      </x:c>
      <x:c r="C109" t="str">
        <x:v>Energy</x:v>
      </x:c>
      <x:c r="D109" t="str">
        <x:v>Petrol</x:v>
      </x:c>
      <x:c r="E109" t="str">
        <x:v>QLD</x:v>
      </x:c>
      <x:c r="F109" s="11" t="n">
        <x:v>95879.63</x:v>
      </x:c>
      <x:c r="G109" s="13" t="n">
        <x:v>19057</x:v>
      </x:c>
      <x:c r="H109" s="11" t="n">
        <x:v>55386.91</x:v>
      </x:c>
      <x:c r="I109" s="11" t="n">
        <x:v>91762.11</x:v>
      </x:c>
    </x:row>
    <x:row r="110">
      <x:c r="A110" t="n">
        <x:v>2023</x:v>
      </x:c>
      <x:c r="B110" t="str">
        <x:v>2023-02</x:v>
      </x:c>
      <x:c r="C110" t="str">
        <x:v>Energy</x:v>
      </x:c>
      <x:c r="D110" t="str">
        <x:v>Petrol</x:v>
      </x:c>
      <x:c r="E110" t="str">
        <x:v>VIC</x:v>
      </x:c>
      <x:c r="F110" s="11" t="n">
        <x:v>93205</x:v>
      </x:c>
      <x:c r="G110" s="13" t="n">
        <x:v>18292</x:v>
      </x:c>
      <x:c r="H110" s="11" t="n">
        <x:v>54350.08</x:v>
      </x:c>
      <x:c r="I110" s="11" t="n">
        <x:v>88992.77</x:v>
      </x:c>
    </x:row>
    <x:row r="111">
      <x:c r="A111" t="n">
        <x:v>2023</x:v>
      </x:c>
      <x:c r="B111" t="str">
        <x:v>2023-02</x:v>
      </x:c>
      <x:c r="C111" t="str">
        <x:v>Sparkling</x:v>
      </x:c>
      <x:c r="D111" t="str">
        <x:v>Convenience</x:v>
      </x:c>
      <x:c r="E111" t="str">
        <x:v>NSW</x:v>
      </x:c>
      <x:c r="F111" s="11" t="n">
        <x:v>129737.12</x:v>
      </x:c>
      <x:c r="G111" s="13" t="n">
        <x:v>31918</x:v>
      </x:c>
      <x:c r="H111" s="11" t="n">
        <x:v>72671.76</x:v>
      </x:c>
      <x:c r="I111" s="11" t="n">
        <x:v>127241.54</x:v>
      </x:c>
    </x:row>
    <x:row r="112">
      <x:c r="A112" t="n">
        <x:v>2023</x:v>
      </x:c>
      <x:c r="B112" t="str">
        <x:v>2023-02</x:v>
      </x:c>
      <x:c r="C112" t="str">
        <x:v>Sparkling</x:v>
      </x:c>
      <x:c r="D112" t="str">
        <x:v>Convenience</x:v>
      </x:c>
      <x:c r="E112" t="str">
        <x:v>QLD</x:v>
      </x:c>
      <x:c r="F112" s="11" t="n">
        <x:v>122631.37</x:v>
      </x:c>
      <x:c r="G112" s="13" t="n">
        <x:v>30923</x:v>
      </x:c>
      <x:c r="H112" s="11" t="n">
        <x:v>67067.27</x:v>
      </x:c>
      <x:c r="I112" s="11" t="n">
        <x:v>122342.4</x:v>
      </x:c>
    </x:row>
    <x:row r="113">
      <x:c r="A113" t="n">
        <x:v>2023</x:v>
      </x:c>
      <x:c r="B113" t="str">
        <x:v>2023-02</x:v>
      </x:c>
      <x:c r="C113" t="str">
        <x:v>Sparkling</x:v>
      </x:c>
      <x:c r="D113" t="str">
        <x:v>Convenience</x:v>
      </x:c>
      <x:c r="E113" t="str">
        <x:v>VIC</x:v>
      </x:c>
      <x:c r="F113" s="11" t="n">
        <x:v>123878.28</x:v>
      </x:c>
      <x:c r="G113" s="13" t="n">
        <x:v>30812</x:v>
      </x:c>
      <x:c r="H113" s="11" t="n">
        <x:v>68658.36</x:v>
      </x:c>
      <x:c r="I113" s="11" t="n">
        <x:v>118696.02</x:v>
      </x:c>
    </x:row>
    <x:row r="114">
      <x:c r="A114" t="n">
        <x:v>2023</x:v>
      </x:c>
      <x:c r="B114" t="str">
        <x:v>2023-02</x:v>
      </x:c>
      <x:c r="C114" t="str">
        <x:v>Sparkling</x:v>
      </x:c>
      <x:c r="D114" t="str">
        <x:v>Grocery</x:v>
      </x:c>
      <x:c r="E114" t="str">
        <x:v>NSW</x:v>
      </x:c>
      <x:c r="F114" s="11" t="n">
        <x:v>327268.23</x:v>
      </x:c>
      <x:c r="G114" s="13" t="n">
        <x:v>95665</x:v>
      </x:c>
      <x:c r="H114" s="11" t="n">
        <x:v>157157.53</x:v>
      </x:c>
      <x:c r="I114" s="11" t="n">
        <x:v>316525.59</x:v>
      </x:c>
    </x:row>
    <x:row r="115">
      <x:c r="A115" t="n">
        <x:v>2023</x:v>
      </x:c>
      <x:c r="B115" t="str">
        <x:v>2023-02</x:v>
      </x:c>
      <x:c r="C115" t="str">
        <x:v>Sparkling</x:v>
      </x:c>
      <x:c r="D115" t="str">
        <x:v>Grocery</x:v>
      </x:c>
      <x:c r="E115" t="str">
        <x:v>QLD</x:v>
      </x:c>
      <x:c r="F115" s="11" t="n">
        <x:v>311751.62</x:v>
      </x:c>
      <x:c r="G115" s="13" t="n">
        <x:v>89804</x:v>
      </x:c>
      <x:c r="H115" s="11" t="n">
        <x:v>152774.6</x:v>
      </x:c>
      <x:c r="I115" s="11" t="n">
        <x:v>304350.63</x:v>
      </x:c>
    </x:row>
    <x:row r="116">
      <x:c r="A116" t="n">
        <x:v>2023</x:v>
      </x:c>
      <x:c r="B116" t="str">
        <x:v>2023-02</x:v>
      </x:c>
      <x:c r="C116" t="str">
        <x:v>Sparkling</x:v>
      </x:c>
      <x:c r="D116" t="str">
        <x:v>Grocery</x:v>
      </x:c>
      <x:c r="E116" t="str">
        <x:v>VIC</x:v>
      </x:c>
      <x:c r="F116" s="11" t="n">
        <x:v>307170.19</x:v>
      </x:c>
      <x:c r="G116" s="13" t="n">
        <x:v>87640</x:v>
      </x:c>
      <x:c r="H116" s="11" t="n">
        <x:v>149918.61</x:v>
      </x:c>
      <x:c r="I116" s="11" t="n">
        <x:v>295235.31</x:v>
      </x:c>
    </x:row>
    <x:row r="117">
      <x:c r="A117" t="n">
        <x:v>2023</x:v>
      </x:c>
      <x:c r="B117" t="str">
        <x:v>2023-02</x:v>
      </x:c>
      <x:c r="C117" t="str">
        <x:v>Sparkling</x:v>
      </x:c>
      <x:c r="D117" t="str">
        <x:v>Hospitality</x:v>
      </x:c>
      <x:c r="E117" t="str">
        <x:v>NSW</x:v>
      </x:c>
      <x:c r="F117" s="11" t="n">
        <x:v>41611.34</x:v>
      </x:c>
      <x:c r="G117" s="13" t="n">
        <x:v>13051</x:v>
      </x:c>
      <x:c r="H117" s="11" t="n">
        <x:v>18459.1</x:v>
      </x:c>
      <x:c r="I117" s="11" t="n">
        <x:v>39565.38</x:v>
      </x:c>
    </x:row>
    <x:row r="118">
      <x:c r="A118" t="n">
        <x:v>2023</x:v>
      </x:c>
      <x:c r="B118" t="str">
        <x:v>2023-02</x:v>
      </x:c>
      <x:c r="C118" t="str">
        <x:v>Sparkling</x:v>
      </x:c>
      <x:c r="D118" t="str">
        <x:v>Hospitality</x:v>
      </x:c>
      <x:c r="E118" t="str">
        <x:v>QLD</x:v>
      </x:c>
      <x:c r="F118" s="11" t="n">
        <x:v>38832.96</x:v>
      </x:c>
      <x:c r="G118" s="13" t="n">
        <x:v>12105</x:v>
      </x:c>
      <x:c r="H118" s="11" t="n">
        <x:v>17263.64</x:v>
      </x:c>
      <x:c r="I118" s="11" t="n">
        <x:v>38037.83</x:v>
      </x:c>
    </x:row>
    <x:row r="119">
      <x:c r="A119" t="n">
        <x:v>2023</x:v>
      </x:c>
      <x:c r="B119" t="str">
        <x:v>2023-02</x:v>
      </x:c>
      <x:c r="C119" t="str">
        <x:v>Sparkling</x:v>
      </x:c>
      <x:c r="D119" t="str">
        <x:v>Hospitality</x:v>
      </x:c>
      <x:c r="E119" t="str">
        <x:v>VIC</x:v>
      </x:c>
      <x:c r="F119" s="11" t="n">
        <x:v>38563.32</x:v>
      </x:c>
      <x:c r="G119" s="13" t="n">
        <x:v>11948</x:v>
      </x:c>
      <x:c r="H119" s="11" t="n">
        <x:v>17188.68</x:v>
      </x:c>
      <x:c r="I119" s="11" t="n">
        <x:v>36910.56</x:v>
      </x:c>
    </x:row>
    <x:row r="120">
      <x:c r="A120" t="n">
        <x:v>2023</x:v>
      </x:c>
      <x:c r="B120" t="str">
        <x:v>2023-02</x:v>
      </x:c>
      <x:c r="C120" t="str">
        <x:v>Sparkling</x:v>
      </x:c>
      <x:c r="D120" t="str">
        <x:v>Independent retail</x:v>
      </x:c>
      <x:c r="E120" t="str">
        <x:v>NSW</x:v>
      </x:c>
      <x:c r="F120" s="11" t="n">
        <x:v>111905.95</x:v>
      </x:c>
      <x:c r="G120" s="13" t="n">
        <x:v>31240</x:v>
      </x:c>
      <x:c r="H120" s="11" t="n">
        <x:v>55660.17</x:v>
      </x:c>
      <x:c r="I120" s="11" t="n">
        <x:v>107594.32</x:v>
      </x:c>
    </x:row>
    <x:row r="121">
      <x:c r="A121" t="n">
        <x:v>2023</x:v>
      </x:c>
      <x:c r="B121" t="str">
        <x:v>2023-02</x:v>
      </x:c>
      <x:c r="C121" t="str">
        <x:v>Sparkling</x:v>
      </x:c>
      <x:c r="D121" t="str">
        <x:v>Independent retail</x:v>
      </x:c>
      <x:c r="E121" t="str">
        <x:v>QLD</x:v>
      </x:c>
      <x:c r="F121" s="11" t="n">
        <x:v>107802.28</x:v>
      </x:c>
      <x:c r="G121" s="13" t="n">
        <x:v>30536</x:v>
      </x:c>
      <x:c r="H121" s="11" t="n">
        <x:v>52722.82</x:v>
      </x:c>
      <x:c r="I121" s="11" t="n">
        <x:v>103454.76</x:v>
      </x:c>
    </x:row>
    <x:row r="122">
      <x:c r="A122" t="n">
        <x:v>2023</x:v>
      </x:c>
      <x:c r="B122" t="str">
        <x:v>2023-02</x:v>
      </x:c>
      <x:c r="C122" t="str">
        <x:v>Sparkling</x:v>
      </x:c>
      <x:c r="D122" t="str">
        <x:v>Independent retail</x:v>
      </x:c>
      <x:c r="E122" t="str">
        <x:v>VIC</x:v>
      </x:c>
      <x:c r="F122" s="11" t="n">
        <x:v>103386.83</x:v>
      </x:c>
      <x:c r="G122" s="13" t="n">
        <x:v>29569</x:v>
      </x:c>
      <x:c r="H122" s="11" t="n">
        <x:v>50556.09</x:v>
      </x:c>
      <x:c r="I122" s="11" t="n">
        <x:v>100348.05</x:v>
      </x:c>
    </x:row>
    <x:row r="123">
      <x:c r="A123" t="n">
        <x:v>2023</x:v>
      </x:c>
      <x:c r="B123" t="str">
        <x:v>2023-02</x:v>
      </x:c>
      <x:c r="C123" t="str">
        <x:v>Sparkling</x:v>
      </x:c>
      <x:c r="D123" t="str">
        <x:v>Petrol</x:v>
      </x:c>
      <x:c r="E123" t="str">
        <x:v>NSW</x:v>
      </x:c>
      <x:c r="F123" s="11" t="n">
        <x:v>118396.3</x:v>
      </x:c>
      <x:c r="G123" s="13" t="n">
        <x:v>30953</x:v>
      </x:c>
      <x:c r="H123" s="11" t="n">
        <x:v>62687.48</x:v>
      </x:c>
      <x:c r="I123" s="11" t="n">
        <x:v>116065.17</x:v>
      </x:c>
    </x:row>
    <x:row r="124">
      <x:c r="A124" t="n">
        <x:v>2023</x:v>
      </x:c>
      <x:c r="B124" t="str">
        <x:v>2023-02</x:v>
      </x:c>
      <x:c r="C124" t="str">
        <x:v>Sparkling</x:v>
      </x:c>
      <x:c r="D124" t="str">
        <x:v>Petrol</x:v>
      </x:c>
      <x:c r="E124" t="str">
        <x:v>QLD</x:v>
      </x:c>
      <x:c r="F124" s="11" t="n">
        <x:v>113459.42</x:v>
      </x:c>
      <x:c r="G124" s="13" t="n">
        <x:v>29371</x:v>
      </x:c>
      <x:c r="H124" s="11" t="n">
        <x:v>61002.08</x:v>
      </x:c>
      <x:c r="I124" s="11" t="n">
        <x:v>111593.34999999999</x:v>
      </x:c>
    </x:row>
    <x:row r="125">
      <x:c r="A125" t="n">
        <x:v>2023</x:v>
      </x:c>
      <x:c r="B125" t="str">
        <x:v>2023-02</x:v>
      </x:c>
      <x:c r="C125" t="str">
        <x:v>Sparkling</x:v>
      </x:c>
      <x:c r="D125" t="str">
        <x:v>Petrol</x:v>
      </x:c>
      <x:c r="E125" t="str">
        <x:v>VIC</x:v>
      </x:c>
      <x:c r="F125" s="11" t="n">
        <x:v>116307.19</x:v>
      </x:c>
      <x:c r="G125" s="13" t="n">
        <x:v>30525</x:v>
      </x:c>
      <x:c r="H125" s="11" t="n">
        <x:v>61773.590000000004</x:v>
      </x:c>
      <x:c r="I125" s="11" t="n">
        <x:v>108252.6</x:v>
      </x:c>
    </x:row>
    <x:row r="126">
      <x:c r="A126" t="n">
        <x:v>2023</x:v>
      </x:c>
      <x:c r="B126" t="str">
        <x:v>2023-02</x:v>
      </x:c>
      <x:c r="C126" t="str">
        <x:v>Sports</x:v>
      </x:c>
      <x:c r="D126" t="str">
        <x:v>Convenience</x:v>
      </x:c>
      <x:c r="E126" t="str">
        <x:v>NSW</x:v>
      </x:c>
      <x:c r="F126" s="11" t="n">
        <x:v>71151.26</x:v>
      </x:c>
      <x:c r="G126" s="13" t="n">
        <x:v>13936</x:v>
      </x:c>
      <x:c r="H126" s="11" t="n">
        <x:v>39151.57</x:v>
      </x:c>
      <x:c r="I126" s="11" t="n">
        <x:v>70302.68</x:v>
      </x:c>
    </x:row>
    <x:row r="127">
      <x:c r="A127" t="n">
        <x:v>2023</x:v>
      </x:c>
      <x:c r="B127" t="str">
        <x:v>2023-02</x:v>
      </x:c>
      <x:c r="C127" t="str">
        <x:v>Sports</x:v>
      </x:c>
      <x:c r="D127" t="str">
        <x:v>Convenience</x:v>
      </x:c>
      <x:c r="E127" t="str">
        <x:v>QLD</x:v>
      </x:c>
      <x:c r="F127" s="11" t="n">
        <x:v>69431.86</x:v>
      </x:c>
      <x:c r="G127" s="13" t="n">
        <x:v>14224</x:v>
      </x:c>
      <x:c r="H127" s="11" t="n">
        <x:v>36673.25</x:v>
      </x:c>
      <x:c r="I127" s="11" t="n">
        <x:v>67580.04</x:v>
      </x:c>
    </x:row>
    <x:row r="128">
      <x:c r="A128" t="n">
        <x:v>2023</x:v>
      </x:c>
      <x:c r="B128" t="str">
        <x:v>2023-02</x:v>
      </x:c>
      <x:c r="C128" t="str">
        <x:v>Sports</x:v>
      </x:c>
      <x:c r="D128" t="str">
        <x:v>Convenience</x:v>
      </x:c>
      <x:c r="E128" t="str">
        <x:v>VIC</x:v>
      </x:c>
      <x:c r="F128" s="11" t="n">
        <x:v>67562.88</x:v>
      </x:c>
      <x:c r="G128" s="13" t="n">
        <x:v>13382</x:v>
      </x:c>
      <x:c r="H128" s="11" t="n">
        <x:v>36500.32</x:v>
      </x:c>
      <x:c r="I128" s="11" t="n">
        <x:v>65554.03</x:v>
      </x:c>
    </x:row>
    <x:row r="129">
      <x:c r="A129" t="n">
        <x:v>2023</x:v>
      </x:c>
      <x:c r="B129" t="str">
        <x:v>2023-02</x:v>
      </x:c>
      <x:c r="C129" t="str">
        <x:v>Sports</x:v>
      </x:c>
      <x:c r="D129" t="str">
        <x:v>Grocery</x:v>
      </x:c>
      <x:c r="E129" t="str">
        <x:v>NSW</x:v>
      </x:c>
      <x:c r="F129" s="11" t="n">
        <x:v>179378.89</x:v>
      </x:c>
      <x:c r="G129" s="13" t="n">
        <x:v>43555</x:v>
      </x:c>
      <x:c r="H129" s="11" t="n">
        <x:v>81688.27</x:v>
      </x:c>
      <x:c r="I129" s="11" t="n">
        <x:v>174457.29</x:v>
      </x:c>
    </x:row>
    <x:row r="130">
      <x:c r="A130" t="n">
        <x:v>2023</x:v>
      </x:c>
      <x:c r="B130" t="str">
        <x:v>2023-02</x:v>
      </x:c>
      <x:c r="C130" t="str">
        <x:v>Sports</x:v>
      </x:c>
      <x:c r="D130" t="str">
        <x:v>Grocery</x:v>
      </x:c>
      <x:c r="E130" t="str">
        <x:v>QLD</x:v>
      </x:c>
      <x:c r="F130" s="11" t="n">
        <x:v>175938.56</x:v>
      </x:c>
      <x:c r="G130" s="13" t="n">
        <x:v>39981</x:v>
      </x:c>
      <x:c r="H130" s="11" t="n">
        <x:v>84232.68</x:v>
      </x:c>
      <x:c r="I130" s="11" t="n">
        <x:v>167729.61000000002</x:v>
      </x:c>
    </x:row>
    <x:row r="131">
      <x:c r="A131" t="n">
        <x:v>2023</x:v>
      </x:c>
      <x:c r="B131" t="str">
        <x:v>2023-02</x:v>
      </x:c>
      <x:c r="C131" t="str">
        <x:v>Sports</x:v>
      </x:c>
      <x:c r="D131" t="str">
        <x:v>Grocery</x:v>
      </x:c>
      <x:c r="E131" t="str">
        <x:v>VIC</x:v>
      </x:c>
      <x:c r="F131" s="11" t="n">
        <x:v>166082.82</x:v>
      </x:c>
      <x:c r="G131" s="13" t="n">
        <x:v>38795</x:v>
      </x:c>
      <x:c r="H131" s="11" t="n">
        <x:v>78161.57</x:v>
      </x:c>
      <x:c r="I131" s="11" t="n">
        <x:v>162706.47</x:v>
      </x:c>
    </x:row>
    <x:row r="132">
      <x:c r="A132" t="n">
        <x:v>2023</x:v>
      </x:c>
      <x:c r="B132" t="str">
        <x:v>2023-02</x:v>
      </x:c>
      <x:c r="C132" t="str">
        <x:v>Sports</x:v>
      </x:c>
      <x:c r="D132" t="str">
        <x:v>Hospitality</x:v>
      </x:c>
      <x:c r="E132" t="str">
        <x:v>NSW</x:v>
      </x:c>
      <x:c r="F132" s="11" t="n">
        <x:v>22184.16</x:v>
      </x:c>
      <x:c r="G132" s="13" t="n">
        <x:v>5631</x:v>
      </x:c>
      <x:c r="H132" s="11" t="n">
        <x:v>9422.35</x:v>
      </x:c>
      <x:c r="I132" s="11" t="n">
        <x:v>21865.719999999998</x:v>
      </x:c>
    </x:row>
    <x:row r="133">
      <x:c r="A133" t="n">
        <x:v>2023</x:v>
      </x:c>
      <x:c r="B133" t="str">
        <x:v>2023-02</x:v>
      </x:c>
      <x:c r="C133" t="str">
        <x:v>Sports</x:v>
      </x:c>
      <x:c r="D133" t="str">
        <x:v>Hospitality</x:v>
      </x:c>
      <x:c r="E133" t="str">
        <x:v>QLD</x:v>
      </x:c>
      <x:c r="F133" s="11" t="n">
        <x:v>21700.32</x:v>
      </x:c>
      <x:c r="G133" s="13" t="n">
        <x:v>5324</x:v>
      </x:c>
      <x:c r="H133" s="11" t="n">
        <x:v>9395.15</x:v>
      </x:c>
      <x:c r="I133" s="11" t="n">
        <x:v>21007.29</x:v>
      </x:c>
    </x:row>
    <x:row r="134">
      <x:c r="A134" t="n">
        <x:v>2023</x:v>
      </x:c>
      <x:c r="B134" t="str">
        <x:v>2023-02</x:v>
      </x:c>
      <x:c r="C134" t="str">
        <x:v>Sports</x:v>
      </x:c>
      <x:c r="D134" t="str">
        <x:v>Hospitality</x:v>
      </x:c>
      <x:c r="E134" t="str">
        <x:v>VIC</x:v>
      </x:c>
      <x:c r="F134" s="11" t="n">
        <x:v>20890.13</x:v>
      </x:c>
      <x:c r="G134" s="13" t="n">
        <x:v>5199</x:v>
      </x:c>
      <x:c r="H134" s="11" t="n">
        <x:v>9055.33</x:v>
      </x:c>
      <x:c r="I134" s="11" t="n">
        <x:v>20370.72</x:v>
      </x:c>
    </x:row>
    <x:row r="135">
      <x:c r="A135" t="n">
        <x:v>2023</x:v>
      </x:c>
      <x:c r="B135" t="str">
        <x:v>2023-02</x:v>
      </x:c>
      <x:c r="C135" t="str">
        <x:v>Sports</x:v>
      </x:c>
      <x:c r="D135" t="str">
        <x:v>Independent retail</x:v>
      </x:c>
      <x:c r="E135" t="str">
        <x:v>NSW</x:v>
      </x:c>
      <x:c r="F135" s="11" t="n">
        <x:v>59553.909999999996</x:v>
      </x:c>
      <x:c r="G135" s="13" t="n">
        <x:v>13399</x:v>
      </x:c>
      <x:c r="H135" s="11" t="n">
        <x:v>28741.2</x:v>
      </x:c>
      <x:c r="I135" s="11" t="n">
        <x:v>59324.73</x:v>
      </x:c>
    </x:row>
    <x:row r="136">
      <x:c r="A136" t="n">
        <x:v>2023</x:v>
      </x:c>
      <x:c r="B136" t="str">
        <x:v>2023-02</x:v>
      </x:c>
      <x:c r="C136" t="str">
        <x:v>Sports</x:v>
      </x:c>
      <x:c r="D136" t="str">
        <x:v>Independent retail</x:v>
      </x:c>
      <x:c r="E136" t="str">
        <x:v>QLD</x:v>
      </x:c>
      <x:c r="F136" s="11" t="n">
        <x:v>58201.35</x:v>
      </x:c>
      <x:c r="G136" s="13" t="n">
        <x:v>13744</x:v>
      </x:c>
      <x:c r="H136" s="11" t="n">
        <x:v>26760.13</x:v>
      </x:c>
      <x:c r="I136" s="11" t="n">
        <x:v>57042.090000000004</x:v>
      </x:c>
    </x:row>
    <x:row r="137">
      <x:c r="A137" t="n">
        <x:v>2023</x:v>
      </x:c>
      <x:c r="B137" t="str">
        <x:v>2023-02</x:v>
      </x:c>
      <x:c r="C137" t="str">
        <x:v>Sports</x:v>
      </x:c>
      <x:c r="D137" t="str">
        <x:v>Independent retail</x:v>
      </x:c>
      <x:c r="E137" t="str">
        <x:v>VIC</x:v>
      </x:c>
      <x:c r="F137" s="11" t="n">
        <x:v>58394.71</x:v>
      </x:c>
      <x:c r="G137" s="13" t="n">
        <x:v>13433</x:v>
      </x:c>
      <x:c r="H137" s="11" t="n">
        <x:v>27386.01</x:v>
      </x:c>
      <x:c r="I137" s="11" t="n">
        <x:v>55322.44</x:v>
      </x:c>
    </x:row>
    <x:row r="138">
      <x:c r="A138" t="n">
        <x:v>2023</x:v>
      </x:c>
      <x:c r="B138" t="str">
        <x:v>2023-02</x:v>
      </x:c>
      <x:c r="C138" t="str">
        <x:v>Sports</x:v>
      </x:c>
      <x:c r="D138" t="str">
        <x:v>Petrol</x:v>
      </x:c>
      <x:c r="E138" t="str">
        <x:v>NSW</x:v>
      </x:c>
      <x:c r="F138" s="11" t="n">
        <x:v>67008.73</x:v>
      </x:c>
      <x:c r="G138" s="13" t="n">
        <x:v>14554</x:v>
      </x:c>
      <x:c r="H138" s="11" t="n">
        <x:v>33726.24</x:v>
      </x:c>
      <x:c r="I138" s="11" t="n">
        <x:v>64243.78</x:v>
      </x:c>
    </x:row>
    <x:row r="139">
      <x:c r="A139" t="n">
        <x:v>2023</x:v>
      </x:c>
      <x:c r="B139" t="str">
        <x:v>2023-02</x:v>
      </x:c>
      <x:c r="C139" t="str">
        <x:v>Sports</x:v>
      </x:c>
      <x:c r="D139" t="str">
        <x:v>Petrol</x:v>
      </x:c>
      <x:c r="E139" t="str">
        <x:v>QLD</x:v>
      </x:c>
      <x:c r="F139" s="11" t="n">
        <x:v>64389.6</x:v>
      </x:c>
      <x:c r="G139" s="13" t="n">
        <x:v>13906</x:v>
      </x:c>
      <x:c r="H139" s="11" t="n">
        <x:v>33093.51</x:v>
      </x:c>
      <x:c r="I139" s="11" t="n">
        <x:v>61790.81</x:v>
      </x:c>
    </x:row>
    <x:row r="140">
      <x:c r="A140" t="n">
        <x:v>2023</x:v>
      </x:c>
      <x:c r="B140" t="str">
        <x:v>2023-02</x:v>
      </x:c>
      <x:c r="C140" t="str">
        <x:v>Sports</x:v>
      </x:c>
      <x:c r="D140" t="str">
        <x:v>Petrol</x:v>
      </x:c>
      <x:c r="E140" t="str">
        <x:v>VIC</x:v>
      </x:c>
      <x:c r="F140" s="11" t="n">
        <x:v>63181.02</x:v>
      </x:c>
      <x:c r="G140" s="13" t="n">
        <x:v>13741</x:v>
      </x:c>
      <x:c r="H140" s="11" t="n">
        <x:v>31993.66</x:v>
      </x:c>
      <x:c r="I140" s="11" t="n">
        <x:v>59953.76</x:v>
      </x:c>
    </x:row>
    <x:row r="141">
      <x:c r="A141" t="n">
        <x:v>2023</x:v>
      </x:c>
      <x:c r="B141" t="str">
        <x:v>2023-02</x:v>
      </x:c>
      <x:c r="C141" t="str">
        <x:v>Water</x:v>
      </x:c>
      <x:c r="D141" t="str">
        <x:v>Convenience</x:v>
      </x:c>
      <x:c r="E141" t="str">
        <x:v>NSW</x:v>
      </x:c>
      <x:c r="F141" s="11" t="n">
        <x:v>85202.59</x:v>
      </x:c>
      <x:c r="G141" s="13" t="n">
        <x:v>28474</x:v>
      </x:c>
      <x:c r="H141" s="11" t="n">
        <x:v>40653.79</x:v>
      </x:c>
      <x:c r="I141" s="11" t="n">
        <x:v>83699.54</x:v>
      </x:c>
    </x:row>
    <x:row r="142">
      <x:c r="A142" t="n">
        <x:v>2023</x:v>
      </x:c>
      <x:c r="B142" t="str">
        <x:v>2023-02</x:v>
      </x:c>
      <x:c r="C142" t="str">
        <x:v>Water</x:v>
      </x:c>
      <x:c r="D142" t="str">
        <x:v>Convenience</x:v>
      </x:c>
      <x:c r="E142" t="str">
        <x:v>QLD</x:v>
      </x:c>
      <x:c r="F142" s="11" t="n">
        <x:v>80408.6</x:v>
      </x:c>
      <x:c r="G142" s="13" t="n">
        <x:v>25547</x:v>
      </x:c>
      <x:c r="H142" s="11" t="n">
        <x:v>40172.52</x:v>
      </x:c>
      <x:c r="I142" s="11" t="n">
        <x:v>80481.8</x:v>
      </x:c>
    </x:row>
    <x:row r="143">
      <x:c r="A143" t="n">
        <x:v>2023</x:v>
      </x:c>
      <x:c r="B143" t="str">
        <x:v>2023-02</x:v>
      </x:c>
      <x:c r="C143" t="str">
        <x:v>Water</x:v>
      </x:c>
      <x:c r="D143" t="str">
        <x:v>Convenience</x:v>
      </x:c>
      <x:c r="E143" t="str">
        <x:v>VIC</x:v>
      </x:c>
      <x:c r="F143" s="11" t="n">
        <x:v>79308.22</x:v>
      </x:c>
      <x:c r="G143" s="13" t="n">
        <x:v>26213</x:v>
      </x:c>
      <x:c r="H143" s="11" t="n">
        <x:v>38586.7</x:v>
      </x:c>
      <x:c r="I143" s="11" t="n">
        <x:v>78076.46</x:v>
      </x:c>
    </x:row>
    <x:row r="144">
      <x:c r="A144" t="n">
        <x:v>2023</x:v>
      </x:c>
      <x:c r="B144" t="str">
        <x:v>2023-02</x:v>
      </x:c>
      <x:c r="C144" t="str">
        <x:v>Water</x:v>
      </x:c>
      <x:c r="D144" t="str">
        <x:v>Grocery</x:v>
      </x:c>
      <x:c r="E144" t="str">
        <x:v>NSW</x:v>
      </x:c>
      <x:c r="F144" s="11" t="n">
        <x:v>207375.36000000002</x:v>
      </x:c>
      <x:c r="G144" s="13" t="n">
        <x:v>76319</x:v>
      </x:c>
      <x:c r="H144" s="11" t="n">
        <x:v>86433.52</x:v>
      </x:c>
      <x:c r="I144" s="11" t="n">
        <x:v>208883.13999999998</x:v>
      </x:c>
    </x:row>
    <x:row r="145">
      <x:c r="A145" t="n">
        <x:v>2023</x:v>
      </x:c>
      <x:c r="B145" t="str">
        <x:v>2023-02</x:v>
      </x:c>
      <x:c r="C145" t="str">
        <x:v>Water</x:v>
      </x:c>
      <x:c r="D145" t="str">
        <x:v>Grocery</x:v>
      </x:c>
      <x:c r="E145" t="str">
        <x:v>QLD</x:v>
      </x:c>
      <x:c r="F145" s="11" t="n">
        <x:v>208357.16</x:v>
      </x:c>
      <x:c r="G145" s="13" t="n">
        <x:v>79753</x:v>
      </x:c>
      <x:c r="H145" s="11" t="n">
        <x:v>82902.84</x:v>
      </x:c>
      <x:c r="I145" s="11" t="n">
        <x:v>200840.87</x:v>
      </x:c>
    </x:row>
    <x:row r="146">
      <x:c r="A146" t="n">
        <x:v>2023</x:v>
      </x:c>
      <x:c r="B146" t="str">
        <x:v>2023-02</x:v>
      </x:c>
      <x:c r="C146" t="str">
        <x:v>Water</x:v>
      </x:c>
      <x:c r="D146" t="str">
        <x:v>Grocery</x:v>
      </x:c>
      <x:c r="E146" t="str">
        <x:v>VIC</x:v>
      </x:c>
      <x:c r="F146" s="11" t="n">
        <x:v>197721.32</x:v>
      </x:c>
      <x:c r="G146" s="13" t="n">
        <x:v>74575</x:v>
      </x:c>
      <x:c r="H146" s="11" t="n">
        <x:v>80091.12</x:v>
      </x:c>
      <x:c r="I146" s="11" t="n">
        <x:v>194811.44</x:v>
      </x:c>
    </x:row>
    <x:row r="147">
      <x:c r="A147" t="n">
        <x:v>2023</x:v>
      </x:c>
      <x:c r="B147" t="str">
        <x:v>2023-02</x:v>
      </x:c>
      <x:c r="C147" t="str">
        <x:v>Water</x:v>
      </x:c>
      <x:c r="D147" t="str">
        <x:v>Hospitality</x:v>
      </x:c>
      <x:c r="E147" t="str">
        <x:v>NSW</x:v>
      </x:c>
      <x:c r="F147" s="11" t="n">
        <x:v>27469.89</x:v>
      </x:c>
      <x:c r="G147" s="13" t="n">
        <x:v>11138</x:v>
      </x:c>
      <x:c r="H147" s="11" t="n">
        <x:v>9740.69</x:v>
      </x:c>
      <x:c r="I147" s="11" t="n">
        <x:v>26120.03</x:v>
      </x:c>
    </x:row>
    <x:row r="148">
      <x:c r="A148" t="n">
        <x:v>2023</x:v>
      </x:c>
      <x:c r="B148" t="str">
        <x:v>2023-02</x:v>
      </x:c>
      <x:c r="C148" t="str">
        <x:v>Water</x:v>
      </x:c>
      <x:c r="D148" t="str">
        <x:v>Hospitality</x:v>
      </x:c>
      <x:c r="E148" t="str">
        <x:v>QLD</x:v>
      </x:c>
      <x:c r="F148" s="11" t="n">
        <x:v>27314</x:v>
      </x:c>
      <x:c r="G148" s="13" t="n">
        <x:v>11227</x:v>
      </x:c>
      <x:c r="H148" s="11" t="n">
        <x:v>9469.28</x:v>
      </x:c>
      <x:c r="I148" s="11" t="n">
        <x:v>25096.4</x:v>
      </x:c>
    </x:row>
    <x:row r="149">
      <x:c r="A149" t="n">
        <x:v>2023</x:v>
      </x:c>
      <x:c r="B149" t="str">
        <x:v>2023-02</x:v>
      </x:c>
      <x:c r="C149" t="str">
        <x:v>Water</x:v>
      </x:c>
      <x:c r="D149" t="str">
        <x:v>Hospitality</x:v>
      </x:c>
      <x:c r="E149" t="str">
        <x:v>VIC</x:v>
      </x:c>
      <x:c r="F149" s="11" t="n">
        <x:v>25410.28</x:v>
      </x:c>
      <x:c r="G149" s="13" t="n">
        <x:v>10598</x:v>
      </x:c>
      <x:c r="H149" s="11" t="n">
        <x:v>8737.36</x:v>
      </x:c>
      <x:c r="I149" s="11" t="n">
        <x:v>24356.18</x:v>
      </x:c>
    </x:row>
    <x:row r="150">
      <x:c r="A150" t="n">
        <x:v>2023</x:v>
      </x:c>
      <x:c r="B150" t="str">
        <x:v>2023-02</x:v>
      </x:c>
      <x:c r="C150" t="str">
        <x:v>Water</x:v>
      </x:c>
      <x:c r="D150" t="str">
        <x:v>Independent retail</x:v>
      </x:c>
      <x:c r="E150" t="str">
        <x:v>NSW</x:v>
      </x:c>
      <x:c r="F150" s="11" t="n">
        <x:v>73438.91</x:v>
      </x:c>
      <x:c r="G150" s="13" t="n">
        <x:v>27384</x:v>
      </x:c>
      <x:c r="H150" s="11" t="n">
        <x:v>30919.31</x:v>
      </x:c>
      <x:c r="I150" s="11" t="n">
        <x:v>71003.54</x:v>
      </x:c>
    </x:row>
    <x:row r="151">
      <x:c r="A151" t="n">
        <x:v>2023</x:v>
      </x:c>
      <x:c r="B151" t="str">
        <x:v>2023-02</x:v>
      </x:c>
      <x:c r="C151" t="str">
        <x:v>Water</x:v>
      </x:c>
      <x:c r="D151" t="str">
        <x:v>Independent retail</x:v>
      </x:c>
      <x:c r="E151" t="str">
        <x:v>QLD</x:v>
      </x:c>
      <x:c r="F151" s="11" t="n">
        <x:v>70689.53</x:v>
      </x:c>
      <x:c r="G151" s="13" t="n">
        <x:v>24935</x:v>
      </x:c>
      <x:c r="H151" s="11" t="n">
        <x:v>31421.85</x:v>
      </x:c>
      <x:c r="I151" s="11" t="n">
        <x:v>68262.02</x:v>
      </x:c>
    </x:row>
    <x:row r="152">
      <x:c r="A152" t="n">
        <x:v>2023</x:v>
      </x:c>
      <x:c r="B152" t="str">
        <x:v>2023-02</x:v>
      </x:c>
      <x:c r="C152" t="str">
        <x:v>Water</x:v>
      </x:c>
      <x:c r="D152" t="str">
        <x:v>Independent retail</x:v>
      </x:c>
      <x:c r="E152" t="str">
        <x:v>VIC</x:v>
      </x:c>
      <x:c r="F152" s="11" t="n">
        <x:v>68993.65</x:v>
      </x:c>
      <x:c r="G152" s="13" t="n">
        <x:v>24869</x:v>
      </x:c>
      <x:c r="H152" s="11" t="n">
        <x:v>30073.93</x:v>
      </x:c>
      <x:c r="I152" s="11" t="n">
        <x:v>66225.88</x:v>
      </x:c>
    </x:row>
    <x:row r="153">
      <x:c r="A153" t="n">
        <x:v>2023</x:v>
      </x:c>
      <x:c r="B153" t="str">
        <x:v>2023-02</x:v>
      </x:c>
      <x:c r="C153" t="str">
        <x:v>Water</x:v>
      </x:c>
      <x:c r="D153" t="str">
        <x:v>Petrol</x:v>
      </x:c>
      <x:c r="E153" t="str">
        <x:v>NSW</x:v>
      </x:c>
      <x:c r="F153" s="11" t="n">
        <x:v>78153.92</x:v>
      </x:c>
      <x:c r="G153" s="13" t="n">
        <x:v>25559</x:v>
      </x:c>
      <x:c r="H153" s="11" t="n">
        <x:v>38197.8</x:v>
      </x:c>
      <x:c r="I153" s="11" t="n">
        <x:v>76444.41</x:v>
      </x:c>
    </x:row>
    <x:row r="154">
      <x:c r="A154" t="n">
        <x:v>2023</x:v>
      </x:c>
      <x:c r="B154" t="str">
        <x:v>2023-02</x:v>
      </x:c>
      <x:c r="C154" t="str">
        <x:v>Water</x:v>
      </x:c>
      <x:c r="D154" t="str">
        <x:v>Petrol</x:v>
      </x:c>
      <x:c r="E154" t="str">
        <x:v>QLD</x:v>
      </x:c>
      <x:c r="F154" s="11" t="n">
        <x:v>75644.92</x:v>
      </x:c>
      <x:c r="G154" s="13" t="n">
        <x:v>24852</x:v>
      </x:c>
      <x:c r="H154" s="11" t="n">
        <x:v>36299.76</x:v>
      </x:c>
      <x:c r="I154" s="11" t="n">
        <x:v>73511.9</x:v>
      </x:c>
    </x:row>
    <x:row r="155">
      <x:c r="A155" t="n">
        <x:v>2023</x:v>
      </x:c>
      <x:c r="B155" t="str">
        <x:v>2023-02</x:v>
      </x:c>
      <x:c r="C155" t="str">
        <x:v>Water</x:v>
      </x:c>
      <x:c r="D155" t="str">
        <x:v>Petrol</x:v>
      </x:c>
      <x:c r="E155" t="str">
        <x:v>VIC</x:v>
      </x:c>
      <x:c r="F155" s="11" t="n">
        <x:v>75443.72</x:v>
      </x:c>
      <x:c r="G155" s="13" t="n">
        <x:v>24543</x:v>
      </x:c>
      <x:c r="H155" s="11" t="n">
        <x:v>36908.08</x:v>
      </x:c>
      <x:c r="I155" s="11" t="n">
        <x:v>71291</x:v>
      </x:c>
    </x:row>
    <x:row r="156">
      <x:c r="A156" t="n">
        <x:v>2023</x:v>
      </x:c>
      <x:c r="B156" t="str">
        <x:v>2023-03</x:v>
      </x:c>
      <x:c r="C156" t="str">
        <x:v>Coffee</x:v>
      </x:c>
      <x:c r="D156" t="str">
        <x:v>Convenience</x:v>
      </x:c>
      <x:c r="E156" t="str">
        <x:v>NSW</x:v>
      </x:c>
      <x:c r="F156" s="11" t="n">
        <x:v>29871.93</x:v>
      </x:c>
      <x:c r="G156" s="13" t="n">
        <x:v>5729</x:v>
      </x:c>
      <x:c r="H156" s="11" t="n">
        <x:v>13567.119999999999</x:v>
      </x:c>
      <x:c r="I156" s="11" t="n">
        <x:v>30070.03</x:v>
      </x:c>
    </x:row>
    <x:row r="157">
      <x:c r="A157" t="n">
        <x:v>2023</x:v>
      </x:c>
      <x:c r="B157" t="str">
        <x:v>2023-03</x:v>
      </x:c>
      <x:c r="C157" t="str">
        <x:v>Coffee</x:v>
      </x:c>
      <x:c r="D157" t="str">
        <x:v>Convenience</x:v>
      </x:c>
      <x:c r="E157" t="str">
        <x:v>QLD</x:v>
      </x:c>
      <x:c r="F157" s="11" t="n">
        <x:v>29462.6</x:v>
      </x:c>
      <x:c r="G157" s="13" t="n">
        <x:v>5916</x:v>
      </x:c>
      <x:c r="H157" s="11" t="n">
        <x:v>12578.71</x:v>
      </x:c>
      <x:c r="I157" s="11" t="n">
        <x:v>28921.39</x:v>
      </x:c>
    </x:row>
    <x:row r="158">
      <x:c r="A158" t="n">
        <x:v>2023</x:v>
      </x:c>
      <x:c r="B158" t="str">
        <x:v>2023-03</x:v>
      </x:c>
      <x:c r="C158" t="str">
        <x:v>Coffee</x:v>
      </x:c>
      <x:c r="D158" t="str">
        <x:v>Convenience</x:v>
      </x:c>
      <x:c r="E158" t="str">
        <x:v>VIC</x:v>
      </x:c>
      <x:c r="F158" s="11" t="n">
        <x:v>27728.67</x:v>
      </x:c>
      <x:c r="G158" s="13" t="n">
        <x:v>5390</x:v>
      </x:c>
      <x:c r="H158" s="11" t="n">
        <x:v>12238.51</x:v>
      </x:c>
      <x:c r="I158" s="11" t="n">
        <x:v>28053.5</x:v>
      </x:c>
    </x:row>
    <x:row r="159">
      <x:c r="A159" t="n">
        <x:v>2023</x:v>
      </x:c>
      <x:c r="B159" t="str">
        <x:v>2023-03</x:v>
      </x:c>
      <x:c r="C159" t="str">
        <x:v>Coffee</x:v>
      </x:c>
      <x:c r="D159" t="str">
        <x:v>Grocery</x:v>
      </x:c>
      <x:c r="E159" t="str">
        <x:v>NSW</x:v>
      </x:c>
      <x:c r="F159" s="11" t="n">
        <x:v>75936.8</x:v>
      </x:c>
      <x:c r="G159" s="13" t="n">
        <x:v>17729</x:v>
      </x:c>
      <x:c r="H159" s="11" t="n">
        <x:v>25186.4</x:v>
      </x:c>
      <x:c r="I159" s="11" t="n">
        <x:v>74650.79</x:v>
      </x:c>
    </x:row>
    <x:row r="160">
      <x:c r="A160" t="n">
        <x:v>2023</x:v>
      </x:c>
      <x:c r="B160" t="str">
        <x:v>2023-03</x:v>
      </x:c>
      <x:c r="C160" t="str">
        <x:v>Coffee</x:v>
      </x:c>
      <x:c r="D160" t="str">
        <x:v>Grocery</x:v>
      </x:c>
      <x:c r="E160" t="str">
        <x:v>QLD</x:v>
      </x:c>
      <x:c r="F160" s="11" t="n">
        <x:v>74259.08</x:v>
      </x:c>
      <x:c r="G160" s="13" t="n">
        <x:v>16595</x:v>
      </x:c>
      <x:c r="H160" s="11" t="n">
        <x:v>26932.79</x:v>
      </x:c>
      <x:c r="I160" s="11" t="n">
        <x:v>71786.26</x:v>
      </x:c>
    </x:row>
    <x:row r="161">
      <x:c r="A161" t="n">
        <x:v>2023</x:v>
      </x:c>
      <x:c r="B161" t="str">
        <x:v>2023-03</x:v>
      </x:c>
      <x:c r="C161" t="str">
        <x:v>Coffee</x:v>
      </x:c>
      <x:c r="D161" t="str">
        <x:v>Grocery</x:v>
      </x:c>
      <x:c r="E161" t="str">
        <x:v>VIC</x:v>
      </x:c>
      <x:c r="F161" s="11" t="n">
        <x:v>68861.34</x:v>
      </x:c>
      <x:c r="G161" s="13" t="n">
        <x:v>15681</x:v>
      </x:c>
      <x:c r="H161" s="11" t="n">
        <x:v>24201.36</x:v>
      </x:c>
      <x:c r="I161" s="11" t="n">
        <x:v>69625.13</x:v>
      </x:c>
    </x:row>
    <x:row r="162">
      <x:c r="A162" t="n">
        <x:v>2023</x:v>
      </x:c>
      <x:c r="B162" t="str">
        <x:v>2023-03</x:v>
      </x:c>
      <x:c r="C162" t="str">
        <x:v>Coffee</x:v>
      </x:c>
      <x:c r="D162" t="str">
        <x:v>Hospitality</x:v>
      </x:c>
      <x:c r="E162" t="str">
        <x:v>NSW</x:v>
      </x:c>
      <x:c r="F162" s="11" t="n">
        <x:v>9293.5</x:v>
      </x:c>
      <x:c r="G162" s="13" t="n">
        <x:v>2327</x:v>
      </x:c>
      <x:c r="H162" s="11" t="n">
        <x:v>2717.62</x:v>
      </x:c>
      <x:c r="I162" s="11" t="n">
        <x:v>9380.18</x:v>
      </x:c>
    </x:row>
    <x:row r="163">
      <x:c r="A163" t="n">
        <x:v>2023</x:v>
      </x:c>
      <x:c r="B163" t="str">
        <x:v>2023-03</x:v>
      </x:c>
      <x:c r="C163" t="str">
        <x:v>Coffee</x:v>
      </x:c>
      <x:c r="D163" t="str">
        <x:v>Hospitality</x:v>
      </x:c>
      <x:c r="E163" t="str">
        <x:v>QLD</x:v>
      </x:c>
      <x:c r="F163" s="11" t="n">
        <x:v>9575.7</x:v>
      </x:c>
      <x:c r="G163" s="13" t="n">
        <x:v>2301</x:v>
      </x:c>
      <x:c r="H163" s="11" t="n">
        <x:v>2989.08</x:v>
      </x:c>
      <x:c r="I163" s="11" t="n">
        <x:v>9010.14</x:v>
      </x:c>
    </x:row>
    <x:row r="164">
      <x:c r="A164" t="n">
        <x:v>2023</x:v>
      </x:c>
      <x:c r="B164" t="str">
        <x:v>2023-03</x:v>
      </x:c>
      <x:c r="C164" t="str">
        <x:v>Coffee</x:v>
      </x:c>
      <x:c r="D164" t="str">
        <x:v>Hospitality</x:v>
      </x:c>
      <x:c r="E164" t="str">
        <x:v>VIC</x:v>
      </x:c>
      <x:c r="F164" s="11" t="n">
        <x:v>8819.43</x:v>
      </x:c>
      <x:c r="G164" s="13" t="n">
        <x:v>2127</x:v>
      </x:c>
      <x:c r="H164" s="11" t="n">
        <x:v>2709</x:v>
      </x:c>
      <x:c r="I164" s="11" t="n">
        <x:v>8719.99</x:v>
      </x:c>
    </x:row>
    <x:row r="165">
      <x:c r="A165" t="n">
        <x:v>2023</x:v>
      </x:c>
      <x:c r="B165" t="str">
        <x:v>2023-03</x:v>
      </x:c>
      <x:c r="C165" t="str">
        <x:v>Coffee</x:v>
      </x:c>
      <x:c r="D165" t="str">
        <x:v>Independent retail</x:v>
      </x:c>
      <x:c r="E165" t="str">
        <x:v>NSW</x:v>
      </x:c>
      <x:c r="F165" s="11" t="n">
        <x:v>25341.76</x:v>
      </x:c>
      <x:c r="G165" s="13" t="n">
        <x:v>5588</x:v>
      </x:c>
      <x:c r="H165" s="11" t="n">
        <x:v>9363.58</x:v>
      </x:c>
      <x:c r="I165" s="11" t="n">
        <x:v>25368.84</x:v>
      </x:c>
    </x:row>
    <x:row r="166">
      <x:c r="A166" t="n">
        <x:v>2023</x:v>
      </x:c>
      <x:c r="B166" t="str">
        <x:v>2023-03</x:v>
      </x:c>
      <x:c r="C166" t="str">
        <x:v>Coffee</x:v>
      </x:c>
      <x:c r="D166" t="str">
        <x:v>Independent retail</x:v>
      </x:c>
      <x:c r="E166" t="str">
        <x:v>QLD</x:v>
      </x:c>
      <x:c r="F166" s="11" t="n">
        <x:v>24247.07</x:v>
      </x:c>
      <x:c r="G166" s="13" t="n">
        <x:v>5554</x:v>
      </x:c>
      <x:c r="H166" s="11" t="n">
        <x:v>8350.76</x:v>
      </x:c>
      <x:c r="I166" s="11" t="n">
        <x:v>24389.9</x:v>
      </x:c>
    </x:row>
    <x:row r="167">
      <x:c r="A167" t="n">
        <x:v>2023</x:v>
      </x:c>
      <x:c r="B167" t="str">
        <x:v>2023-03</x:v>
      </x:c>
      <x:c r="C167" t="str">
        <x:v>Coffee</x:v>
      </x:c>
      <x:c r="D167" t="str">
        <x:v>Independent retail</x:v>
      </x:c>
      <x:c r="E167" t="str">
        <x:v>VIC</x:v>
      </x:c>
      <x:c r="F167" s="11" t="n">
        <x:v>24629.12</x:v>
      </x:c>
      <x:c r="G167" s="13" t="n">
        <x:v>5533</x:v>
      </x:c>
      <x:c r="H167" s="11" t="n">
        <x:v>8797.69</x:v>
      </x:c>
      <x:c r="I167" s="11" t="n">
        <x:v>23662.16</x:v>
      </x:c>
    </x:row>
    <x:row r="168">
      <x:c r="A168" t="n">
        <x:v>2023</x:v>
      </x:c>
      <x:c r="B168" t="str">
        <x:v>2023-03</x:v>
      </x:c>
      <x:c r="C168" t="str">
        <x:v>Coffee</x:v>
      </x:c>
      <x:c r="D168" t="str">
        <x:v>Petrol</x:v>
      </x:c>
      <x:c r="E168" t="str">
        <x:v>NSW</x:v>
      </x:c>
      <x:c r="F168" s="11" t="n">
        <x:v>27207.16</x:v>
      </x:c>
      <x:c r="G168" s="13" t="n">
        <x:v>5754</x:v>
      </x:c>
      <x:c r="H168" s="11" t="n">
        <x:v>10797.5</x:v>
      </x:c>
      <x:c r="I168" s="11" t="n">
        <x:v>27348.24</x:v>
      </x:c>
    </x:row>
    <x:row r="169">
      <x:c r="A169" t="n">
        <x:v>2023</x:v>
      </x:c>
      <x:c r="B169" t="str">
        <x:v>2023-03</x:v>
      </x:c>
      <x:c r="C169" t="str">
        <x:v>Coffee</x:v>
      </x:c>
      <x:c r="D169" t="str">
        <x:v>Petrol</x:v>
      </x:c>
      <x:c r="E169" t="str">
        <x:v>QLD</x:v>
      </x:c>
      <x:c r="F169" s="11" t="n">
        <x:v>26349.72</x:v>
      </x:c>
      <x:c r="G169" s="13" t="n">
        <x:v>5514</x:v>
      </x:c>
      <x:c r="H169" s="11" t="n">
        <x:v>10659.52</x:v>
      </x:c>
      <x:c r="I169" s="11" t="n">
        <x:v>26283.64</x:v>
      </x:c>
    </x:row>
    <x:row r="170">
      <x:c r="A170" t="n">
        <x:v>2023</x:v>
      </x:c>
      <x:c r="B170" t="str">
        <x:v>2023-03</x:v>
      </x:c>
      <x:c r="C170" t="str">
        <x:v>Coffee</x:v>
      </x:c>
      <x:c r="D170" t="str">
        <x:v>Petrol</x:v>
      </x:c>
      <x:c r="E170" t="str">
        <x:v>VIC</x:v>
      </x:c>
      <x:c r="F170" s="11" t="n">
        <x:v>25256.19</x:v>
      </x:c>
      <x:c r="G170" s="13" t="n">
        <x:v>5346</x:v>
      </x:c>
      <x:c r="H170" s="11" t="n">
        <x:v>9980.91</x:v>
      </x:c>
      <x:c r="I170" s="11" t="n">
        <x:v>25506.23</x:v>
      </x:c>
    </x:row>
    <x:row r="171">
      <x:c r="A171" t="n">
        <x:v>2023</x:v>
      </x:c>
      <x:c r="B171" t="str">
        <x:v>2023-03</x:v>
      </x:c>
      <x:c r="C171" t="str">
        <x:v>Energy</x:v>
      </x:c>
      <x:c r="D171" t="str">
        <x:v>Convenience</x:v>
      </x:c>
      <x:c r="E171" t="str">
        <x:v>NSW</x:v>
      </x:c>
      <x:c r="F171" s="11" t="n">
        <x:v>73744.42</x:v>
      </x:c>
      <x:c r="G171" s="13" t="n">
        <x:v>13836</x:v>
      </x:c>
      <x:c r="H171" s="11" t="n">
        <x:v>44072.22</x:v>
      </x:c>
      <x:c r="I171" s="11" t="n">
        <x:v>110691.69</x:v>
      </x:c>
    </x:row>
    <x:row r="172">
      <x:c r="A172" t="n">
        <x:v>2023</x:v>
      </x:c>
      <x:c r="B172" t="str">
        <x:v>2023-03</x:v>
      </x:c>
      <x:c r="C172" t="str">
        <x:v>Energy</x:v>
      </x:c>
      <x:c r="D172" t="str">
        <x:v>Convenience</x:v>
      </x:c>
      <x:c r="E172" t="str">
        <x:v>QLD</x:v>
      </x:c>
      <x:c r="F172" s="11" t="n">
        <x:v>69757.41</x:v>
      </x:c>
      <x:c r="G172" s="13" t="n">
        <x:v>13546</x:v>
      </x:c>
      <x:c r="H172" s="11" t="n">
        <x:v>41582.81</x:v>
      </x:c>
      <x:c r="I172" s="11" t="n">
        <x:v>106439.8</x:v>
      </x:c>
    </x:row>
    <x:row r="173">
      <x:c r="A173" t="n">
        <x:v>2023</x:v>
      </x:c>
      <x:c r="B173" t="str">
        <x:v>2023-03</x:v>
      </x:c>
      <x:c r="C173" t="str">
        <x:v>Energy</x:v>
      </x:c>
      <x:c r="D173" t="str">
        <x:v>Convenience</x:v>
      </x:c>
      <x:c r="E173" t="str">
        <x:v>VIC</x:v>
      </x:c>
      <x:c r="F173" s="11" t="n">
        <x:v>69298.35</x:v>
      </x:c>
      <x:c r="G173" s="13" t="n">
        <x:v>13474</x:v>
      </x:c>
      <x:c r="H173" s="11" t="n">
        <x:v>40941.99</x:v>
      </x:c>
      <x:c r="I173" s="11" t="n">
        <x:v>103251.06999999999</x:v>
      </x:c>
    </x:row>
    <x:row r="174">
      <x:c r="A174" t="n">
        <x:v>2023</x:v>
      </x:c>
      <x:c r="B174" t="str">
        <x:v>2023-03</x:v>
      </x:c>
      <x:c r="C174" t="str">
        <x:v>Energy</x:v>
      </x:c>
      <x:c r="D174" t="str">
        <x:v>Grocery</x:v>
      </x:c>
      <x:c r="E174" t="str">
        <x:v>NSW</x:v>
      </x:c>
      <x:c r="F174" s="11" t="n">
        <x:v>282710.32</x:v>
      </x:c>
      <x:c r="G174" s="13" t="n">
        <x:v>61691</x:v>
      </x:c>
      <x:c r="H174" s="11" t="n">
        <x:v>154899.84</x:v>
      </x:c>
      <x:c r="I174" s="11" t="n">
        <x:v>275691.87</x:v>
      </x:c>
    </x:row>
    <x:row r="175">
      <x:c r="A175" t="n">
        <x:v>2023</x:v>
      </x:c>
      <x:c r="B175" t="str">
        <x:v>2023-03</x:v>
      </x:c>
      <x:c r="C175" t="str">
        <x:v>Energy</x:v>
      </x:c>
      <x:c r="D175" t="str">
        <x:v>Grocery</x:v>
      </x:c>
      <x:c r="E175" t="str">
        <x:v>QLD</x:v>
      </x:c>
      <x:c r="F175" s="11" t="n">
        <x:v>274617.35</x:v>
      </x:c>
      <x:c r="G175" s="13" t="n">
        <x:v>59171</x:v>
      </x:c>
      <x:c r="H175" s="11" t="n">
        <x:v>147656.79</x:v>
      </x:c>
      <x:c r="I175" s="11" t="n">
        <x:v>265079.22</x:v>
      </x:c>
    </x:row>
    <x:row r="176">
      <x:c r="A176" t="n">
        <x:v>2023</x:v>
      </x:c>
      <x:c r="B176" t="str">
        <x:v>2023-03</x:v>
      </x:c>
      <x:c r="C176" t="str">
        <x:v>Energy</x:v>
      </x:c>
      <x:c r="D176" t="str">
        <x:v>Grocery</x:v>
      </x:c>
      <x:c r="E176" t="str">
        <x:v>VIC</x:v>
      </x:c>
      <x:c r="F176" s="11" t="n">
        <x:v>260734.63</x:v>
      </x:c>
      <x:c r="G176" s="13" t="n">
        <x:v>54671</x:v>
      </x:c>
      <x:c r="H176" s="11" t="n">
        <x:v>141913.31</x:v>
      </x:c>
      <x:c r="I176" s="11" t="n">
        <x:v>257138.28</x:v>
      </x:c>
    </x:row>
    <x:row r="177">
      <x:c r="A177" t="n">
        <x:v>2023</x:v>
      </x:c>
      <x:c r="B177" t="str">
        <x:v>2023-03</x:v>
      </x:c>
      <x:c r="C177" t="str">
        <x:v>Energy</x:v>
      </x:c>
      <x:c r="D177" t="str">
        <x:v>Hospitality</x:v>
      </x:c>
      <x:c r="E177" t="str">
        <x:v>NSW</x:v>
      </x:c>
      <x:c r="F177" s="11" t="n">
        <x:v>36591.75</x:v>
      </x:c>
      <x:c r="G177" s="13" t="n">
        <x:v>8482</x:v>
      </x:c>
      <x:c r="H177" s="11" t="n">
        <x:v>18436.87</x:v>
      </x:c>
      <x:c r="I177" s="11" t="n">
        <x:v>34480.09</x:v>
      </x:c>
    </x:row>
    <x:row r="178">
      <x:c r="A178" t="n">
        <x:v>2023</x:v>
      </x:c>
      <x:c r="B178" t="str">
        <x:v>2023-03</x:v>
      </x:c>
      <x:c r="C178" t="str">
        <x:v>Energy</x:v>
      </x:c>
      <x:c r="D178" t="str">
        <x:v>Hospitality</x:v>
      </x:c>
      <x:c r="E178" t="str">
        <x:v>QLD</x:v>
      </x:c>
      <x:c r="F178" s="11" t="n">
        <x:v>34701.96</x:v>
      </x:c>
      <x:c r="G178" s="13" t="n">
        <x:v>8110</x:v>
      </x:c>
      <x:c r="H178" s="11" t="n">
        <x:v>17184.52</x:v>
      </x:c>
      <x:c r="I178" s="11" t="n">
        <x:v>33171.15</x:v>
      </x:c>
    </x:row>
    <x:row r="179">
      <x:c r="A179" t="n">
        <x:v>2023</x:v>
      </x:c>
      <x:c r="B179" t="str">
        <x:v>2023-03</x:v>
      </x:c>
      <x:c r="C179" t="str">
        <x:v>Energy</x:v>
      </x:c>
      <x:c r="D179" t="str">
        <x:v>Hospitality</x:v>
      </x:c>
      <x:c r="E179" t="str">
        <x:v>VIC</x:v>
      </x:c>
      <x:c r="F179" s="11" t="n">
        <x:v>33610.94</x:v>
      </x:c>
      <x:c r="G179" s="13" t="n">
        <x:v>7809</x:v>
      </x:c>
      <x:c r="H179" s="11" t="n">
        <x:v>16762.54</x:v>
      </x:c>
      <x:c r="I179" s="11" t="n">
        <x:v>32166.02</x:v>
      </x:c>
    </x:row>
    <x:row r="180">
      <x:c r="A180" t="n">
        <x:v>2023</x:v>
      </x:c>
      <x:c r="B180" t="str">
        <x:v>2023-03</x:v>
      </x:c>
      <x:c r="C180" t="str">
        <x:v>Energy</x:v>
      </x:c>
      <x:c r="D180" t="str">
        <x:v>Independent retail</x:v>
      </x:c>
      <x:c r="E180" t="str">
        <x:v>NSW</x:v>
      </x:c>
      <x:c r="F180" s="11" t="n">
        <x:v>98312.59</x:v>
      </x:c>
      <x:c r="G180" s="13" t="n">
        <x:v>20922</x:v>
      </x:c>
      <x:c r="H180" s="11" t="n">
        <x:v>53362.71</x:v>
      </x:c>
      <x:c r="I180" s="11" t="n">
        <x:v>93670.46</x:v>
      </x:c>
    </x:row>
    <x:row r="181">
      <x:c r="A181" t="n">
        <x:v>2023</x:v>
      </x:c>
      <x:c r="B181" t="str">
        <x:v>2023-03</x:v>
      </x:c>
      <x:c r="C181" t="str">
        <x:v>Energy</x:v>
      </x:c>
      <x:c r="D181" t="str">
        <x:v>Independent retail</x:v>
      </x:c>
      <x:c r="E181" t="str">
        <x:v>QLD</x:v>
      </x:c>
      <x:c r="F181" s="11" t="n">
        <x:v>95414.8</x:v>
      </x:c>
      <x:c r="G181" s="13" t="n">
        <x:v>19956</x:v>
      </x:c>
      <x:c r="H181" s="11" t="n">
        <x:v>53153.88</x:v>
      </x:c>
      <x:c r="I181" s="11" t="n">
        <x:v>90070.33</x:v>
      </x:c>
    </x:row>
    <x:row r="182">
      <x:c r="A182" t="n">
        <x:v>2023</x:v>
      </x:c>
      <x:c r="B182" t="str">
        <x:v>2023-03</x:v>
      </x:c>
      <x:c r="C182" t="str">
        <x:v>Energy</x:v>
      </x:c>
      <x:c r="D182" t="str">
        <x:v>Independent retail</x:v>
      </x:c>
      <x:c r="E182" t="str">
        <x:v>VIC</x:v>
      </x:c>
      <x:c r="F182" s="11" t="n">
        <x:v>93211.73</x:v>
      </x:c>
      <x:c r="G182" s="13" t="n">
        <x:v>19743</x:v>
      </x:c>
      <x:c r="H182" s="11" t="n">
        <x:v>51029.45</x:v>
      </x:c>
      <x:c r="I182" s="11" t="n">
        <x:v>87382.19</x:v>
      </x:c>
    </x:row>
    <x:row r="183">
      <x:c r="A183" t="n">
        <x:v>2023</x:v>
      </x:c>
      <x:c r="B183" t="str">
        <x:v>2023-03</x:v>
      </x:c>
      <x:c r="C183" t="str">
        <x:v>Energy</x:v>
      </x:c>
      <x:c r="D183" t="str">
        <x:v>Petrol</x:v>
      </x:c>
      <x:c r="E183" t="str">
        <x:v>NSW</x:v>
      </x:c>
      <x:c r="F183" s="11" t="n">
        <x:v>104035.52</x:v>
      </x:c>
      <x:c r="G183" s="13" t="n">
        <x:v>20298</x:v>
      </x:c>
      <x:c r="H183" s="11" t="n">
        <x:v>61425</x:v>
      </x:c>
      <x:c r="I183" s="11" t="n">
        <x:v>100917.15</x:v>
      </x:c>
    </x:row>
    <x:row r="184">
      <x:c r="A184" t="n">
        <x:v>2023</x:v>
      </x:c>
      <x:c r="B184" t="str">
        <x:v>2023-03</x:v>
      </x:c>
      <x:c r="C184" t="str">
        <x:v>Energy</x:v>
      </x:c>
      <x:c r="D184" t="str">
        <x:v>Petrol</x:v>
      </x:c>
      <x:c r="E184" t="str">
        <x:v>QLD</x:v>
      </x:c>
      <x:c r="F184" s="11" t="n">
        <x:v>98482.35</x:v>
      </x:c>
      <x:c r="G184" s="13" t="n">
        <x:v>18986</x:v>
      </x:c>
      <x:c r="H184" s="11" t="n">
        <x:v>58806.75</x:v>
      </x:c>
      <x:c r="I184" s="11" t="n">
        <x:v>97057.31</x:v>
      </x:c>
    </x:row>
    <x:row r="185">
      <x:c r="A185" t="n">
        <x:v>2023</x:v>
      </x:c>
      <x:c r="B185" t="str">
        <x:v>2023-03</x:v>
      </x:c>
      <x:c r="C185" t="str">
        <x:v>Energy</x:v>
      </x:c>
      <x:c r="D185" t="str">
        <x:v>Petrol</x:v>
      </x:c>
      <x:c r="E185" t="str">
        <x:v>VIC</x:v>
      </x:c>
      <x:c r="F185" s="11" t="n">
        <x:v>98300.57</x:v>
      </x:c>
      <x:c r="G185" s="13" t="n">
        <x:v>19040</x:v>
      </x:c>
      <x:c r="H185" s="11" t="n">
        <x:v>58524.05</x:v>
      </x:c>
      <x:c r="I185" s="11" t="n">
        <x:v>94140.96</x:v>
      </x:c>
    </x:row>
    <x:row r="186">
      <x:c r="A186" t="n">
        <x:v>2023</x:v>
      </x:c>
      <x:c r="B186" t="str">
        <x:v>2023-03</x:v>
      </x:c>
      <x:c r="C186" t="str">
        <x:v>Sparkling</x:v>
      </x:c>
      <x:c r="D186" t="str">
        <x:v>Convenience</x:v>
      </x:c>
      <x:c r="E186" t="str">
        <x:v>NSW</x:v>
      </x:c>
      <x:c r="F186" s="11" t="n">
        <x:v>140046.39</x:v>
      </x:c>
      <x:c r="G186" s="13" t="n">
        <x:v>35252</x:v>
      </x:c>
      <x:c r="H186" s="11" t="n">
        <x:v>76902.47</x:v>
      </x:c>
      <x:c r="I186" s="11" t="n">
        <x:v>134610.02</x:v>
      </x:c>
    </x:row>
    <x:row r="187">
      <x:c r="A187" t="n">
        <x:v>2023</x:v>
      </x:c>
      <x:c r="B187" t="str">
        <x:v>2023-03</x:v>
      </x:c>
      <x:c r="C187" t="str">
        <x:v>Sparkling</x:v>
      </x:c>
      <x:c r="D187" t="str">
        <x:v>Convenience</x:v>
      </x:c>
      <x:c r="E187" t="str">
        <x:v>QLD</x:v>
      </x:c>
      <x:c r="F187" s="11" t="n">
        <x:v>131797.51</x:v>
      </x:c>
      <x:c r="G187" s="13" t="n">
        <x:v>33134</x:v>
      </x:c>
      <x:c r="H187" s="11" t="n">
        <x:v>73282.29</x:v>
      </x:c>
      <x:c r="I187" s="11" t="n">
        <x:v>129421.63</x:v>
      </x:c>
    </x:row>
    <x:row r="188">
      <x:c r="A188" t="n">
        <x:v>2023</x:v>
      </x:c>
      <x:c r="B188" t="str">
        <x:v>2023-03</x:v>
      </x:c>
      <x:c r="C188" t="str">
        <x:v>Sparkling</x:v>
      </x:c>
      <x:c r="D188" t="str">
        <x:v>Convenience</x:v>
      </x:c>
      <x:c r="E188" t="str">
        <x:v>VIC</x:v>
      </x:c>
      <x:c r="F188" s="11" t="n">
        <x:v>131819.01</x:v>
      </x:c>
      <x:c r="G188" s="13" t="n">
        <x:v>33056</x:v>
      </x:c>
      <x:c r="H188" s="11" t="n">
        <x:v>72924.99</x:v>
      </x:c>
      <x:c r="I188" s="11" t="n">
        <x:v>125532.61</x:v>
      </x:c>
    </x:row>
    <x:row r="189">
      <x:c r="A189" t="n">
        <x:v>2023</x:v>
      </x:c>
      <x:c r="B189" t="str">
        <x:v>2023-03</x:v>
      </x:c>
      <x:c r="C189" t="str">
        <x:v>Sparkling</x:v>
      </x:c>
      <x:c r="D189" t="str">
        <x:v>Grocery</x:v>
      </x:c>
      <x:c r="E189" t="str">
        <x:v>NSW</x:v>
      </x:c>
      <x:c r="F189" s="11" t="n">
        <x:v>348665.17</x:v>
      </x:c>
      <x:c r="G189" s="13" t="n">
        <x:v>99872</x:v>
      </x:c>
      <x:c r="H189" s="11" t="n">
        <x:v>167524.83</x:v>
      </x:c>
      <x:c r="I189" s="11" t="n">
        <x:v>334825.57</x:v>
      </x:c>
    </x:row>
    <x:row r="190">
      <x:c r="A190" t="n">
        <x:v>2023</x:v>
      </x:c>
      <x:c r="B190" t="str">
        <x:v>2023-03</x:v>
      </x:c>
      <x:c r="C190" t="str">
        <x:v>Sparkling</x:v>
      </x:c>
      <x:c r="D190" t="str">
        <x:v>Grocery</x:v>
      </x:c>
      <x:c r="E190" t="str">
        <x:v>QLD</x:v>
      </x:c>
      <x:c r="F190" s="11" t="n">
        <x:v>330765.05</x:v>
      </x:c>
      <x:c r="G190" s="13" t="n">
        <x:v>98020</x:v>
      </x:c>
      <x:c r="H190" s="11" t="n">
        <x:v>156438.41</x:v>
      </x:c>
      <x:c r="I190" s="11" t="n">
        <x:v>321947.48</x:v>
      </x:c>
    </x:row>
    <x:row r="191">
      <x:c r="A191" t="n">
        <x:v>2023</x:v>
      </x:c>
      <x:c r="B191" t="str">
        <x:v>2023-03</x:v>
      </x:c>
      <x:c r="C191" t="str">
        <x:v>Sparkling</x:v>
      </x:c>
      <x:c r="D191" t="str">
        <x:v>Grocery</x:v>
      </x:c>
      <x:c r="E191" t="str">
        <x:v>VIC</x:v>
      </x:c>
      <x:c r="F191" s="11" t="n">
        <x:v>324481.39</x:v>
      </x:c>
      <x:c r="G191" s="13" t="n">
        <x:v>95316</x:v>
      </x:c>
      <x:c r="H191" s="11" t="n">
        <x:v>153977.17</x:v>
      </x:c>
      <x:c r="I191" s="11" t="n">
        <x:v>312275.52</x:v>
      </x:c>
    </x:row>
    <x:row r="192">
      <x:c r="A192" t="n">
        <x:v>2023</x:v>
      </x:c>
      <x:c r="B192" t="str">
        <x:v>2023-03</x:v>
      </x:c>
      <x:c r="C192" t="str">
        <x:v>Sparkling</x:v>
      </x:c>
      <x:c r="D192" t="str">
        <x:v>Hospitality</x:v>
      </x:c>
      <x:c r="E192" t="str">
        <x:v>NSW</x:v>
      </x:c>
      <x:c r="F192" s="11" t="n">
        <x:v>43507.4</x:v>
      </x:c>
      <x:c r="G192" s="13" t="n">
        <x:v>13832</x:v>
      </x:c>
      <x:c r="H192" s="11" t="n">
        <x:v>18620.54</x:v>
      </x:c>
      <x:c r="I192" s="11" t="n">
        <x:v>41869.4</x:v>
      </x:c>
    </x:row>
    <x:row r="193">
      <x:c r="A193" t="n">
        <x:v>2023</x:v>
      </x:c>
      <x:c r="B193" t="str">
        <x:v>2023-03</x:v>
      </x:c>
      <x:c r="C193" t="str">
        <x:v>Sparkling</x:v>
      </x:c>
      <x:c r="D193" t="str">
        <x:v>Hospitality</x:v>
      </x:c>
      <x:c r="E193" t="str">
        <x:v>QLD</x:v>
      </x:c>
      <x:c r="F193" s="11" t="n">
        <x:v>42223.43</x:v>
      </x:c>
      <x:c r="G193" s="13" t="n">
        <x:v>13345</x:v>
      </x:c>
      <x:c r="H193" s="11" t="n">
        <x:v>18161.53</x:v>
      </x:c>
      <x:c r="I193" s="11" t="n">
        <x:v>40254.33</x:v>
      </x:c>
    </x:row>
    <x:row r="194">
      <x:c r="A194" t="n">
        <x:v>2023</x:v>
      </x:c>
      <x:c r="B194" t="str">
        <x:v>2023-03</x:v>
      </x:c>
      <x:c r="C194" t="str">
        <x:v>Sparkling</x:v>
      </x:c>
      <x:c r="D194" t="str">
        <x:v>Hospitality</x:v>
      </x:c>
      <x:c r="E194" t="str">
        <x:v>VIC</x:v>
      </x:c>
      <x:c r="F194" s="11" t="n">
        <x:v>40257.01</x:v>
      </x:c>
      <x:c r="G194" s="13" t="n">
        <x:v>12882</x:v>
      </x:c>
      <x:c r="H194" s="11" t="n">
        <x:v>17242.63</x:v>
      </x:c>
      <x:c r="I194" s="11" t="n">
        <x:v>39038.840000000004</x:v>
      </x:c>
    </x:row>
    <x:row r="195">
      <x:c r="A195" t="n">
        <x:v>2023</x:v>
      </x:c>
      <x:c r="B195" t="str">
        <x:v>2023-03</x:v>
      </x:c>
      <x:c r="C195" t="str">
        <x:v>Sparkling</x:v>
      </x:c>
      <x:c r="D195" t="str">
        <x:v>Independent retail</x:v>
      </x:c>
      <x:c r="E195" t="str">
        <x:v>NSW</x:v>
      </x:c>
      <x:c r="F195" s="11" t="n">
        <x:v>119090.65</x:v>
      </x:c>
      <x:c r="G195" s="13" t="n">
        <x:v>33654</x:v>
      </x:c>
      <x:c r="H195" s="11" t="n">
        <x:v>59191.57</x:v>
      </x:c>
      <x:c r="I195" s="11" t="n">
        <x:v>113789.2</x:v>
      </x:c>
    </x:row>
    <x:row r="196">
      <x:c r="A196" t="n">
        <x:v>2023</x:v>
      </x:c>
      <x:c r="B196" t="str">
        <x:v>2023-03</x:v>
      </x:c>
      <x:c r="C196" t="str">
        <x:v>Sparkling</x:v>
      </x:c>
      <x:c r="D196" t="str">
        <x:v>Independent retail</x:v>
      </x:c>
      <x:c r="E196" t="str">
        <x:v>QLD</x:v>
      </x:c>
      <x:c r="F196" s="11" t="n">
        <x:v>113068.17</x:v>
      </x:c>
      <x:c r="G196" s="13" t="n">
        <x:v>31732</x:v>
      </x:c>
      <x:c r="H196" s="11" t="n">
        <x:v>57029.17</x:v>
      </x:c>
      <x:c r="I196" s="11" t="n">
        <x:v>109436.51</x:v>
      </x:c>
    </x:row>
    <x:row r="197">
      <x:c r="A197" t="n">
        <x:v>2023</x:v>
      </x:c>
      <x:c r="B197" t="str">
        <x:v>2023-03</x:v>
      </x:c>
      <x:c r="C197" t="str">
        <x:v>Sparkling</x:v>
      </x:c>
      <x:c r="D197" t="str">
        <x:v>Independent retail</x:v>
      </x:c>
      <x:c r="E197" t="str">
        <x:v>VIC</x:v>
      </x:c>
      <x:c r="F197" s="11" t="n">
        <x:v>112912.28</x:v>
      </x:c>
      <x:c r="G197" s="13" t="n">
        <x:v>31523</x:v>
      </x:c>
      <x:c r="H197" s="11" t="n">
        <x:v>56716.26</x:v>
      </x:c>
      <x:c r="I197" s="11" t="n">
        <x:v>106137.73999999999</x:v>
      </x:c>
    </x:row>
    <x:row r="198">
      <x:c r="A198" t="n">
        <x:v>2023</x:v>
      </x:c>
      <x:c r="B198" t="str">
        <x:v>2023-03</x:v>
      </x:c>
      <x:c r="C198" t="str">
        <x:v>Sparkling</x:v>
      </x:c>
      <x:c r="D198" t="str">
        <x:v>Petrol</x:v>
      </x:c>
      <x:c r="E198" t="str">
        <x:v>NSW</x:v>
      </x:c>
      <x:c r="F198" s="11" t="n">
        <x:v>126708.46</x:v>
      </x:c>
      <x:c r="G198" s="13" t="n">
        <x:v>32437</x:v>
      </x:c>
      <x:c r="H198" s="11" t="n">
        <x:v>68922.9</x:v>
      </x:c>
      <x:c r="I198" s="11" t="n">
        <x:v>122761.3</x:v>
      </x:c>
    </x:row>
    <x:row r="199">
      <x:c r="A199" t="n">
        <x:v>2023</x:v>
      </x:c>
      <x:c r="B199" t="str">
        <x:v>2023-03</x:v>
      </x:c>
      <x:c r="C199" t="str">
        <x:v>Sparkling</x:v>
      </x:c>
      <x:c r="D199" t="str">
        <x:v>Petrol</x:v>
      </x:c>
      <x:c r="E199" t="str">
        <x:v>QLD</x:v>
      </x:c>
      <x:c r="F199" s="11" t="n">
        <x:v>120813.31</x:v>
      </x:c>
      <x:c r="G199" s="13" t="n">
        <x:v>31270</x:v>
      </x:c>
      <x:c r="H199" s="11" t="n">
        <x:v>64647.73</x:v>
      </x:c>
      <x:c r="I199" s="11" t="n">
        <x:v>118045.69</x:v>
      </x:c>
    </x:row>
    <x:row r="200">
      <x:c r="A200" t="n">
        <x:v>2023</x:v>
      </x:c>
      <x:c r="B200" t="str">
        <x:v>2023-03</x:v>
      </x:c>
      <x:c r="C200" t="str">
        <x:v>Sparkling</x:v>
      </x:c>
      <x:c r="D200" t="str">
        <x:v>Petrol</x:v>
      </x:c>
      <x:c r="E200" t="str">
        <x:v>VIC</x:v>
      </x:c>
      <x:c r="F200" s="11" t="n">
        <x:v>120025.58</x:v>
      </x:c>
      <x:c r="G200" s="13" t="n">
        <x:v>30560</x:v>
      </x:c>
      <x:c r="H200" s="11" t="n">
        <x:v>65265.36</x:v>
      </x:c>
      <x:c r="I200" s="11" t="n">
        <x:v>114514.01</x:v>
      </x:c>
    </x:row>
    <x:row r="201">
      <x:c r="A201" t="n">
        <x:v>2023</x:v>
      </x:c>
      <x:c r="B201" t="str">
        <x:v>2023-03</x:v>
      </x:c>
      <x:c r="C201" t="str">
        <x:v>Sports</x:v>
      </x:c>
      <x:c r="D201" t="str">
        <x:v>Convenience</x:v>
      </x:c>
      <x:c r="E201" t="str">
        <x:v>NSW</x:v>
      </x:c>
      <x:c r="F201" s="11" t="n">
        <x:v>76583.91</x:v>
      </x:c>
      <x:c r="G201" s="13" t="n">
        <x:v>15971</x:v>
      </x:c>
      <x:c r="H201" s="11" t="n">
        <x:v>40233.25</x:v>
      </x:c>
      <x:c r="I201" s="11" t="n">
        <x:v>74342.66</x:v>
      </x:c>
    </x:row>
    <x:row r="202">
      <x:c r="A202" t="n">
        <x:v>2023</x:v>
      </x:c>
      <x:c r="B202" t="str">
        <x:v>2023-03</x:v>
      </x:c>
      <x:c r="C202" t="str">
        <x:v>Sports</x:v>
      </x:c>
      <x:c r="D202" t="str">
        <x:v>Convenience</x:v>
      </x:c>
      <x:c r="E202" t="str">
        <x:v>QLD</x:v>
      </x:c>
      <x:c r="F202" s="11" t="n">
        <x:v>74160.29</x:v>
      </x:c>
      <x:c r="G202" s="13" t="n">
        <x:v>14827</x:v>
      </x:c>
      <x:c r="H202" s="11" t="n">
        <x:v>40414.99</x:v>
      </x:c>
      <x:c r="I202" s="11" t="n">
        <x:v>71496.84</x:v>
      </x:c>
    </x:row>
    <x:row r="203">
      <x:c r="A203" t="n">
        <x:v>2023</x:v>
      </x:c>
      <x:c r="B203" t="str">
        <x:v>2023-03</x:v>
      </x:c>
      <x:c r="C203" t="str">
        <x:v>Sports</x:v>
      </x:c>
      <x:c r="D203" t="str">
        <x:v>Convenience</x:v>
      </x:c>
      <x:c r="E203" t="str">
        <x:v>VIC</x:v>
      </x:c>
      <x:c r="F203" s="11" t="n">
        <x:v>70372.25</x:v>
      </x:c>
      <x:c r="G203" s="13" t="n">
        <x:v>14786</x:v>
      </x:c>
      <x:c r="H203" s="11" t="n">
        <x:v>37481.57</x:v>
      </x:c>
      <x:c r="I203" s="11" t="n">
        <x:v>69337.73</x:v>
      </x:c>
    </x:row>
    <x:row r="204">
      <x:c r="A204" t="n">
        <x:v>2023</x:v>
      </x:c>
      <x:c r="B204" t="str">
        <x:v>2023-03</x:v>
      </x:c>
      <x:c r="C204" t="str">
        <x:v>Sports</x:v>
      </x:c>
      <x:c r="D204" t="str">
        <x:v>Grocery</x:v>
      </x:c>
      <x:c r="E204" t="str">
        <x:v>NSW</x:v>
      </x:c>
      <x:c r="F204" s="11" t="n">
        <x:v>188381.52</x:v>
      </x:c>
      <x:c r="G204" s="13" t="n">
        <x:v>43873</x:v>
      </x:c>
      <x:c r="H204" s="11" t="n">
        <x:v>87185</x:v>
      </x:c>
      <x:c r="I204" s="11" t="n">
        <x:v>184502.99</x:v>
      </x:c>
    </x:row>
    <x:row r="205">
      <x:c r="A205" t="n">
        <x:v>2023</x:v>
      </x:c>
      <x:c r="B205" t="str">
        <x:v>2023-03</x:v>
      </x:c>
      <x:c r="C205" t="str">
        <x:v>Sports</x:v>
      </x:c>
      <x:c r="D205" t="str">
        <x:v>Grocery</x:v>
      </x:c>
      <x:c r="E205" t="str">
        <x:v>QLD</x:v>
      </x:c>
      <x:c r="F205" s="11" t="n">
        <x:v>183505.14</x:v>
      </x:c>
      <x:c r="G205" s="13" t="n">
        <x:v>44636</x:v>
      </x:c>
      <x:c r="H205" s="11" t="n">
        <x:v>82079.66</x:v>
      </x:c>
      <x:c r="I205" s="11" t="n">
        <x:v>177442.39</x:v>
      </x:c>
    </x:row>
    <x:row r="206">
      <x:c r="A206" t="n">
        <x:v>2023</x:v>
      </x:c>
      <x:c r="B206" t="str">
        <x:v>2023-03</x:v>
      </x:c>
      <x:c r="C206" t="str">
        <x:v>Sports</x:v>
      </x:c>
      <x:c r="D206" t="str">
        <x:v>Grocery</x:v>
      </x:c>
      <x:c r="E206" t="str">
        <x:v>VIC</x:v>
      </x:c>
      <x:c r="F206" s="11" t="n">
        <x:v>179787.05</x:v>
      </x:c>
      <x:c r="G206" s="13" t="n">
        <x:v>43136</x:v>
      </x:c>
      <x:c r="H206" s="11" t="n">
        <x:v>80908.18</x:v>
      </x:c>
      <x:c r="I206" s="11" t="n">
        <x:v>172113.65</x:v>
      </x:c>
    </x:row>
    <x:row r="207">
      <x:c r="A207" t="n">
        <x:v>2023</x:v>
      </x:c>
      <x:c r="B207" t="str">
        <x:v>2023-03</x:v>
      </x:c>
      <x:c r="C207" t="str">
        <x:v>Sports</x:v>
      </x:c>
      <x:c r="D207" t="str">
        <x:v>Hospitality</x:v>
      </x:c>
      <x:c r="E207" t="str">
        <x:v>NSW</x:v>
      </x:c>
      <x:c r="F207" s="11" t="n">
        <x:v>23762.73</x:v>
      </x:c>
      <x:c r="G207" s="13" t="n">
        <x:v>6211</x:v>
      </x:c>
      <x:c r="H207" s="11" t="n">
        <x:v>9569.09</x:v>
      </x:c>
      <x:c r="I207" s="11" t="n">
        <x:v>23081.96</x:v>
      </x:c>
    </x:row>
    <x:row r="208">
      <x:c r="A208" t="n">
        <x:v>2023</x:v>
      </x:c>
      <x:c r="B208" t="str">
        <x:v>2023-03</x:v>
      </x:c>
      <x:c r="C208" t="str">
        <x:v>Sports</x:v>
      </x:c>
      <x:c r="D208" t="str">
        <x:v>Hospitality</x:v>
      </x:c>
      <x:c r="E208" t="str">
        <x:v>QLD</x:v>
      </x:c>
      <x:c r="F208" s="11" t="n">
        <x:v>22645.66</x:v>
      </x:c>
      <x:c r="G208" s="13" t="n">
        <x:v>6000</x:v>
      </x:c>
      <x:c r="H208" s="11" t="n">
        <x:v>9054.48</x:v>
      </x:c>
      <x:c r="I208" s="11" t="n">
        <x:v>22216.29</x:v>
      </x:c>
    </x:row>
    <x:row r="209">
      <x:c r="A209" t="n">
        <x:v>2023</x:v>
      </x:c>
      <x:c r="B209" t="str">
        <x:v>2023-03</x:v>
      </x:c>
      <x:c r="C209" t="str">
        <x:v>Sports</x:v>
      </x:c>
      <x:c r="D209" t="str">
        <x:v>Hospitality</x:v>
      </x:c>
      <x:c r="E209" t="str">
        <x:v>VIC</x:v>
      </x:c>
      <x:c r="F209" s="11" t="n">
        <x:v>22868.96</x:v>
      </x:c>
      <x:c r="G209" s="13" t="n">
        <x:v>6012</x:v>
      </x:c>
      <x:c r="H209" s="11" t="n">
        <x:v>9103.49</x:v>
      </x:c>
      <x:c r="I209" s="11" t="n">
        <x:v>21535.38</x:v>
      </x:c>
    </x:row>
    <x:row r="210">
      <x:c r="A210" t="n">
        <x:v>2023</x:v>
      </x:c>
      <x:c r="B210" t="str">
        <x:v>2023-03</x:v>
      </x:c>
      <x:c r="C210" t="str">
        <x:v>Sports</x:v>
      </x:c>
      <x:c r="D210" t="str">
        <x:v>Independent retail</x:v>
      </x:c>
      <x:c r="E210" t="str">
        <x:v>NSW</x:v>
      </x:c>
      <x:c r="F210" s="11" t="n">
        <x:v>65306.8</x:v>
      </x:c>
      <x:c r="G210" s="13" t="n">
        <x:v>15261</x:v>
      </x:c>
      <x:c r="H210" s="11" t="n">
        <x:v>30867.31</x:v>
      </x:c>
      <x:c r="I210" s="11" t="n">
        <x:v>62735.87</x:v>
      </x:c>
    </x:row>
    <x:row r="211">
      <x:c r="A211" t="n">
        <x:v>2023</x:v>
      </x:c>
      <x:c r="B211" t="str">
        <x:v>2023-03</x:v>
      </x:c>
      <x:c r="C211" t="str">
        <x:v>Sports</x:v>
      </x:c>
      <x:c r="D211" t="str">
        <x:v>Independent retail</x:v>
      </x:c>
      <x:c r="E211" t="str">
        <x:v>QLD</x:v>
      </x:c>
      <x:c r="F211" s="11" t="n">
        <x:v>61621.11</x:v>
      </x:c>
      <x:c r="G211" s="13" t="n">
        <x:v>13774</x:v>
      </x:c>
      <x:c r="H211" s="11" t="n">
        <x:v>30435.06</x:v>
      </x:c>
      <x:c r="I211" s="11" t="n">
        <x:v>60330.31</x:v>
      </x:c>
    </x:row>
    <x:row r="212">
      <x:c r="A212" t="n">
        <x:v>2023</x:v>
      </x:c>
      <x:c r="B212" t="str">
        <x:v>2023-03</x:v>
      </x:c>
      <x:c r="C212" t="str">
        <x:v>Sports</x:v>
      </x:c>
      <x:c r="D212" t="str">
        <x:v>Independent retail</x:v>
      </x:c>
      <x:c r="E212" t="str">
        <x:v>VIC</x:v>
      </x:c>
      <x:c r="F212" s="11" t="n">
        <x:v>60096.84</x:v>
      </x:c>
      <x:c r="G212" s="13" t="n">
        <x:v>13618</x:v>
      </x:c>
      <x:c r="H212" s="11" t="n">
        <x:v>29230.71</x:v>
      </x:c>
      <x:c r="I212" s="11" t="n">
        <x:v>58519.44</x:v>
      </x:c>
    </x:row>
    <x:row r="213">
      <x:c r="A213" t="n">
        <x:v>2023</x:v>
      </x:c>
      <x:c r="B213" t="str">
        <x:v>2023-03</x:v>
      </x:c>
      <x:c r="C213" t="str">
        <x:v>Sports</x:v>
      </x:c>
      <x:c r="D213" t="str">
        <x:v>Petrol</x:v>
      </x:c>
      <x:c r="E213" t="str">
        <x:v>NSW</x:v>
      </x:c>
      <x:c r="F213" s="11" t="n">
        <x:v>69587.19</x:v>
      </x:c>
      <x:c r="G213" s="13" t="n">
        <x:v>14263</x:v>
      </x:c>
      <x:c r="H213" s="11" t="n">
        <x:v>37189.6</x:v>
      </x:c>
      <x:c r="I213" s="11" t="n">
        <x:v>67973.93</x:v>
      </x:c>
    </x:row>
    <x:row r="214">
      <x:c r="A214" t="n">
        <x:v>2023</x:v>
      </x:c>
      <x:c r="B214" t="str">
        <x:v>2023-03</x:v>
      </x:c>
      <x:c r="C214" t="str">
        <x:v>Sports</x:v>
      </x:c>
      <x:c r="D214" t="str">
        <x:v>Petrol</x:v>
      </x:c>
      <x:c r="E214" t="str">
        <x:v>QLD</x:v>
      </x:c>
      <x:c r="F214" s="11" t="n">
        <x:v>67171.89</x:v>
      </x:c>
      <x:c r="G214" s="13" t="n">
        <x:v>14101</x:v>
      </x:c>
      <x:c r="H214" s="11" t="n">
        <x:v>34914.76</x:v>
      </x:c>
      <x:c r="I214" s="11" t="n">
        <x:v>65357.34</x:v>
      </x:c>
    </x:row>
    <x:row r="215">
      <x:c r="A215" t="n">
        <x:v>2023</x:v>
      </x:c>
      <x:c r="B215" t="str">
        <x:v>2023-03</x:v>
      </x:c>
      <x:c r="C215" t="str">
        <x:v>Sports</x:v>
      </x:c>
      <x:c r="D215" t="str">
        <x:v>Petrol</x:v>
      </x:c>
      <x:c r="E215" t="str">
        <x:v>VIC</x:v>
      </x:c>
      <x:c r="F215" s="11" t="n">
        <x:v>62180.32</x:v>
      </x:c>
      <x:c r="G215" s="13" t="n">
        <x:v>12698</x:v>
      </x:c>
      <x:c r="H215" s="11" t="n">
        <x:v>33038.57</x:v>
      </x:c>
      <x:c r="I215" s="11" t="n">
        <x:v>63410.72</x:v>
      </x:c>
    </x:row>
    <x:row r="216">
      <x:c r="A216" t="n">
        <x:v>2023</x:v>
      </x:c>
      <x:c r="B216" t="str">
        <x:v>2023-03</x:v>
      </x:c>
      <x:c r="C216" t="str">
        <x:v>Water</x:v>
      </x:c>
      <x:c r="D216" t="str">
        <x:v>Convenience</x:v>
      </x:c>
      <x:c r="E216" t="str">
        <x:v>NSW</x:v>
      </x:c>
      <x:c r="F216" s="11" t="n">
        <x:v>87138.41</x:v>
      </x:c>
      <x:c r="G216" s="13" t="n">
        <x:v>27298</x:v>
      </x:c>
      <x:c r="H216" s="11" t="n">
        <x:v>43970.53</x:v>
      </x:c>
      <x:c r="I216" s="11" t="n">
        <x:v>88535.21</x:v>
      </x:c>
    </x:row>
    <x:row r="217">
      <x:c r="A217" t="n">
        <x:v>2023</x:v>
      </x:c>
      <x:c r="B217" t="str">
        <x:v>2023-03</x:v>
      </x:c>
      <x:c r="C217" t="str">
        <x:v>Water</x:v>
      </x:c>
      <x:c r="D217" t="str">
        <x:v>Convenience</x:v>
      </x:c>
      <x:c r="E217" t="str">
        <x:v>QLD</x:v>
      </x:c>
      <x:c r="F217" s="11" t="n">
        <x:v>86232.69</x:v>
      </x:c>
      <x:c r="G217" s="13" t="n">
        <x:v>27802</x:v>
      </x:c>
      <x:c r="H217" s="11" t="n">
        <x:v>41896.17</x:v>
      </x:c>
      <x:c r="I217" s="11" t="n">
        <x:v>85124.96</x:v>
      </x:c>
    </x:row>
    <x:row r="218">
      <x:c r="A218" t="n">
        <x:v>2023</x:v>
      </x:c>
      <x:c r="B218" t="str">
        <x:v>2023-03</x:v>
      </x:c>
      <x:c r="C218" t="str">
        <x:v>Water</x:v>
      </x:c>
      <x:c r="D218" t="str">
        <x:v>Convenience</x:v>
      </x:c>
      <x:c r="E218" t="str">
        <x:v>VIC</x:v>
      </x:c>
      <x:c r="F218" s="11" t="n">
        <x:v>84125.21</x:v>
      </x:c>
      <x:c r="G218" s="13" t="n">
        <x:v>27001</x:v>
      </x:c>
      <x:c r="H218" s="11" t="n">
        <x:v>41586.05</x:v>
      </x:c>
      <x:c r="I218" s="11" t="n">
        <x:v>82580.79</x:v>
      </x:c>
    </x:row>
    <x:row r="219">
      <x:c r="A219" t="n">
        <x:v>2023</x:v>
      </x:c>
      <x:c r="B219" t="str">
        <x:v>2023-03</x:v>
      </x:c>
      <x:c r="C219" t="str">
        <x:v>Water</x:v>
      </x:c>
      <x:c r="D219" t="str">
        <x:v>Grocery</x:v>
      </x:c>
      <x:c r="E219" t="str">
        <x:v>NSW</x:v>
      </x:c>
      <x:c r="F219" s="11" t="n">
        <x:v>225889.63</x:v>
      </x:c>
      <x:c r="G219" s="13" t="n">
        <x:v>85038</x:v>
      </x:c>
      <x:c r="H219" s="11" t="n">
        <x:v>92247.11</x:v>
      </x:c>
      <x:c r="I219" s="11" t="n">
        <x:v>220933.66</x:v>
      </x:c>
    </x:row>
    <x:row r="220">
      <x:c r="A220" t="n">
        <x:v>2023</x:v>
      </x:c>
      <x:c r="B220" t="str">
        <x:v>2023-03</x:v>
      </x:c>
      <x:c r="C220" t="str">
        <x:v>Water</x:v>
      </x:c>
      <x:c r="D220" t="str">
        <x:v>Grocery</x:v>
      </x:c>
      <x:c r="E220" t="str">
        <x:v>QLD</x:v>
      </x:c>
      <x:c r="F220" s="11" t="n">
        <x:v>211759.82</x:v>
      </x:c>
      <x:c r="G220" s="13" t="n">
        <x:v>77532</x:v>
      </x:c>
      <x:c r="H220" s="11" t="n">
        <x:v>90553.86</x:v>
      </x:c>
      <x:c r="I220" s="11" t="n">
        <x:v>212440.05</x:v>
      </x:c>
    </x:row>
    <x:row r="221">
      <x:c r="A221" t="n">
        <x:v>2023</x:v>
      </x:c>
      <x:c r="B221" t="str">
        <x:v>2023-03</x:v>
      </x:c>
      <x:c r="C221" t="str">
        <x:v>Water</x:v>
      </x:c>
      <x:c r="D221" t="str">
        <x:v>Grocery</x:v>
      </x:c>
      <x:c r="E221" t="str">
        <x:v>VIC</x:v>
      </x:c>
      <x:c r="F221" s="11" t="n">
        <x:v>207812.23</x:v>
      </x:c>
      <x:c r="G221" s="13" t="n">
        <x:v>77801</x:v>
      </x:c>
      <x:c r="H221" s="11" t="n">
        <x:v>87138.79</x:v>
      </x:c>
      <x:c r="I221" s="11" t="n">
        <x:v>206064.7</x:v>
      </x:c>
    </x:row>
    <x:row r="222">
      <x:c r="A222" t="n">
        <x:v>2023</x:v>
      </x:c>
      <x:c r="B222" t="str">
        <x:v>2023-03</x:v>
      </x:c>
      <x:c r="C222" t="str">
        <x:v>Water</x:v>
      </x:c>
      <x:c r="D222" t="str">
        <x:v>Hospitality</x:v>
      </x:c>
      <x:c r="E222" t="str">
        <x:v>NSW</x:v>
      </x:c>
      <x:c r="F222" s="11" t="n">
        <x:v>28287.51</x:v>
      </x:c>
      <x:c r="G222" s="13" t="n">
        <x:v>11433</x:v>
      </x:c>
      <x:c r="H222" s="11" t="n">
        <x:v>10443.75</x:v>
      </x:c>
      <x:c r="I222" s="11" t="n">
        <x:v>27620.29</x:v>
      </x:c>
    </x:row>
    <x:row r="223">
      <x:c r="A223" t="n">
        <x:v>2023</x:v>
      </x:c>
      <x:c r="B223" t="str">
        <x:v>2023-03</x:v>
      </x:c>
      <x:c r="C223" t="str">
        <x:v>Water</x:v>
      </x:c>
      <x:c r="D223" t="str">
        <x:v>Hospitality</x:v>
      </x:c>
      <x:c r="E223" t="str">
        <x:v>QLD</x:v>
      </x:c>
      <x:c r="F223" s="11" t="n">
        <x:v>27382.98</x:v>
      </x:c>
      <x:c r="G223" s="13" t="n">
        <x:v>10776</x:v>
      </x:c>
      <x:c r="H223" s="11" t="n">
        <x:v>10319.82</x:v>
      </x:c>
      <x:c r="I223" s="11" t="n">
        <x:v>26571.94</x:v>
      </x:c>
    </x:row>
    <x:row r="224">
      <x:c r="A224" t="n">
        <x:v>2023</x:v>
      </x:c>
      <x:c r="B224" t="str">
        <x:v>2023-03</x:v>
      </x:c>
      <x:c r="C224" t="str">
        <x:v>Water</x:v>
      </x:c>
      <x:c r="D224" t="str">
        <x:v>Hospitality</x:v>
      </x:c>
      <x:c r="E224" t="str">
        <x:v>VIC</x:v>
      </x:c>
      <x:c r="F224" s="11" t="n">
        <x:v>26885.2</x:v>
      </x:c>
      <x:c r="G224" s="13" t="n">
        <x:v>10669</x:v>
      </x:c>
      <x:c r="H224" s="11" t="n">
        <x:v>10170</x:v>
      </x:c>
      <x:c r="I224" s="11" t="n">
        <x:v>25763.2</x:v>
      </x:c>
    </x:row>
    <x:row r="225">
      <x:c r="A225" t="n">
        <x:v>2023</x:v>
      </x:c>
      <x:c r="B225" t="str">
        <x:v>2023-03</x:v>
      </x:c>
      <x:c r="C225" t="str">
        <x:v>Water</x:v>
      </x:c>
      <x:c r="D225" t="str">
        <x:v>Independent retail</x:v>
      </x:c>
      <x:c r="E225" t="str">
        <x:v>NSW</x:v>
      </x:c>
      <x:c r="F225" s="11" t="n">
        <x:v>76855.89</x:v>
      </x:c>
      <x:c r="G225" s="13" t="n">
        <x:v>27603</x:v>
      </x:c>
      <x:c r="H225" s="11" t="n">
        <x:v>33007.97</x:v>
      </x:c>
      <x:c r="I225" s="11" t="n">
        <x:v>75096.48</x:v>
      </x:c>
    </x:row>
    <x:row r="226">
      <x:c r="A226" t="n">
        <x:v>2023</x:v>
      </x:c>
      <x:c r="B226" t="str">
        <x:v>2023-03</x:v>
      </x:c>
      <x:c r="C226" t="str">
        <x:v>Water</x:v>
      </x:c>
      <x:c r="D226" t="str">
        <x:v>Independent retail</x:v>
      </x:c>
      <x:c r="E226" t="str">
        <x:v>QLD</x:v>
      </x:c>
      <x:c r="F226" s="11" t="n">
        <x:v>74303.53</x:v>
      </x:c>
      <x:c r="G226" s="13" t="n">
        <x:v>27629</x:v>
      </x:c>
      <x:c r="H226" s="11" t="n">
        <x:v>30962.45</x:v>
      </x:c>
      <x:c r="I226" s="11" t="n">
        <x:v>72215.51</x:v>
      </x:c>
    </x:row>
    <x:row r="227">
      <x:c r="A227" t="n">
        <x:v>2023</x:v>
      </x:c>
      <x:c r="B227" t="str">
        <x:v>2023-03</x:v>
      </x:c>
      <x:c r="C227" t="str">
        <x:v>Water</x:v>
      </x:c>
      <x:c r="D227" t="str">
        <x:v>Independent retail</x:v>
      </x:c>
      <x:c r="E227" t="str">
        <x:v>VIC</x:v>
      </x:c>
      <x:c r="F227" s="11" t="n">
        <x:v>72207.87</x:v>
      </x:c>
      <x:c r="G227" s="13" t="n">
        <x:v>26308</x:v>
      </x:c>
      <x:c r="H227" s="11" t="n">
        <x:v>30310.79</x:v>
      </x:c>
      <x:c r="I227" s="11" t="n">
        <x:v>70050.69</x:v>
      </x:c>
    </x:row>
    <x:row r="228">
      <x:c r="A228" t="n">
        <x:v>2023</x:v>
      </x:c>
      <x:c r="B228" t="str">
        <x:v>2023-03</x:v>
      </x:c>
      <x:c r="C228" t="str">
        <x:v>Water</x:v>
      </x:c>
      <x:c r="D228" t="str">
        <x:v>Petrol</x:v>
      </x:c>
      <x:c r="E228" t="str">
        <x:v>NSW</x:v>
      </x:c>
      <x:c r="F228" s="11" t="n">
        <x:v>85659.78</x:v>
      </x:c>
      <x:c r="G228" s="13" t="n">
        <x:v>29317</x:v>
      </x:c>
      <x:c r="H228" s="11" t="n">
        <x:v>39591.1</x:v>
      </x:c>
      <x:c r="I228" s="11" t="n">
        <x:v>80868.58</x:v>
      </x:c>
    </x:row>
    <x:row r="229">
      <x:c r="A229" t="n">
        <x:v>2023</x:v>
      </x:c>
      <x:c r="B229" t="str">
        <x:v>2023-03</x:v>
      </x:c>
      <x:c r="C229" t="str">
        <x:v>Water</x:v>
      </x:c>
      <x:c r="D229" t="str">
        <x:v>Petrol</x:v>
      </x:c>
      <x:c r="E229" t="str">
        <x:v>QLD</x:v>
      </x:c>
      <x:c r="F229" s="11" t="n">
        <x:v>81298.12</x:v>
      </x:c>
      <x:c r="G229" s="13" t="n">
        <x:v>27890</x:v>
      </x:c>
      <x:c r="H229" s="11" t="n">
        <x:v>38225.36</x:v>
      </x:c>
      <x:c r="I229" s="11" t="n">
        <x:v>77753.04</x:v>
      </x:c>
    </x:row>
    <x:row r="230">
      <x:c r="A230" t="n">
        <x:v>2023</x:v>
      </x:c>
      <x:c r="B230" t="str">
        <x:v>2023-03</x:v>
      </x:c>
      <x:c r="C230" t="str">
        <x:v>Water</x:v>
      </x:c>
      <x:c r="D230" t="str">
        <x:v>Petrol</x:v>
      </x:c>
      <x:c r="E230" t="str">
        <x:v>VIC</x:v>
      </x:c>
      <x:c r="F230" s="11" t="n">
        <x:v>77707.55</x:v>
      </x:c>
      <x:c r="G230" s="13" t="n">
        <x:v>26472</x:v>
      </x:c>
      <x:c r="H230" s="11" t="n">
        <x:v>36031.51</x:v>
      </x:c>
      <x:c r="I230" s="11" t="n">
        <x:v>75424.6</x:v>
      </x:c>
    </x:row>
    <x:row r="231">
      <x:c r="A231" t="n">
        <x:v>2023</x:v>
      </x:c>
      <x:c r="B231" t="str">
        <x:v>2023-04</x:v>
      </x:c>
      <x:c r="C231" t="str">
        <x:v>Coffee</x:v>
      </x:c>
      <x:c r="D231" t="str">
        <x:v>Convenience</x:v>
      </x:c>
      <x:c r="E231" t="str">
        <x:v>NSW</x:v>
      </x:c>
      <x:c r="F231" s="11" t="n">
        <x:v>28225.89</x:v>
      </x:c>
      <x:c r="G231" s="13" t="n">
        <x:v>5738</x:v>
      </x:c>
      <x:c r="H231" s="11" t="n">
        <x:v>11777.77</x:v>
      </x:c>
      <x:c r="I231" s="11" t="n">
        <x:v>27054.12</x:v>
      </x:c>
    </x:row>
    <x:row r="232">
      <x:c r="A232" t="n">
        <x:v>2023</x:v>
      </x:c>
      <x:c r="B232" t="str">
        <x:v>2023-04</x:v>
      </x:c>
      <x:c r="C232" t="str">
        <x:v>Coffee</x:v>
      </x:c>
      <x:c r="D232" t="str">
        <x:v>Convenience</x:v>
      </x:c>
      <x:c r="E232" t="str">
        <x:v>QLD</x:v>
      </x:c>
      <x:c r="F232" s="11" t="n">
        <x:v>26755.27</x:v>
      </x:c>
      <x:c r="G232" s="13" t="n">
        <x:v>5231</x:v>
      </x:c>
      <x:c r="H232" s="11" t="n">
        <x:v>11873.55</x:v>
      </x:c>
      <x:c r="I232" s="11" t="n">
        <x:v>26021.18</x:v>
      </x:c>
    </x:row>
    <x:row r="233">
      <x:c r="A233" t="n">
        <x:v>2023</x:v>
      </x:c>
      <x:c r="B233" t="str">
        <x:v>2023-04</x:v>
      </x:c>
      <x:c r="C233" t="str">
        <x:v>Coffee</x:v>
      </x:c>
      <x:c r="D233" t="str">
        <x:v>Convenience</x:v>
      </x:c>
      <x:c r="E233" t="str">
        <x:v>VIC</x:v>
      </x:c>
      <x:c r="F233" s="11" t="n">
        <x:v>25550.97</x:v>
      </x:c>
      <x:c r="G233" s="13" t="n">
        <x:v>5092</x:v>
      </x:c>
      <x:c r="H233" s="11" t="n">
        <x:v>11004.86</x:v>
      </x:c>
      <x:c r="I233" s="11" t="n">
        <x:v>25242.5</x:v>
      </x:c>
    </x:row>
    <x:row r="234">
      <x:c r="A234" t="n">
        <x:v>2023</x:v>
      </x:c>
      <x:c r="B234" t="str">
        <x:v>2023-04</x:v>
      </x:c>
      <x:c r="C234" t="str">
        <x:v>Coffee</x:v>
      </x:c>
      <x:c r="D234" t="str">
        <x:v>Grocery</x:v>
      </x:c>
      <x:c r="E234" t="str">
        <x:v>NSW</x:v>
      </x:c>
      <x:c r="F234" s="11" t="n">
        <x:v>68759.86</x:v>
      </x:c>
      <x:c r="G234" s="13" t="n">
        <x:v>15750</x:v>
      </x:c>
      <x:c r="H234" s="11" t="n">
        <x:v>23715.37</x:v>
      </x:c>
      <x:c r="I234" s="11" t="n">
        <x:v>67170.75</x:v>
      </x:c>
    </x:row>
    <x:row r="235">
      <x:c r="A235" t="n">
        <x:v>2023</x:v>
      </x:c>
      <x:c r="B235" t="str">
        <x:v>2023-04</x:v>
      </x:c>
      <x:c r="C235" t="str">
        <x:v>Coffee</x:v>
      </x:c>
      <x:c r="D235" t="str">
        <x:v>Grocery</x:v>
      </x:c>
      <x:c r="E235" t="str">
        <x:v>QLD</x:v>
      </x:c>
      <x:c r="F235" s="11" t="n">
        <x:v>63588.17</x:v>
      </x:c>
      <x:c r="G235" s="13" t="n">
        <x:v>15040</x:v>
      </x:c>
      <x:c r="H235" s="11" t="n">
        <x:v>20489.39</x:v>
      </x:c>
      <x:c r="I235" s="11" t="n">
        <x:v>64587.32</x:v>
      </x:c>
    </x:row>
    <x:row r="236">
      <x:c r="A236" t="n">
        <x:v>2023</x:v>
      </x:c>
      <x:c r="B236" t="str">
        <x:v>2023-04</x:v>
      </x:c>
      <x:c r="C236" t="str">
        <x:v>Coffee</x:v>
      </x:c>
      <x:c r="D236" t="str">
        <x:v>Grocery</x:v>
      </x:c>
      <x:c r="E236" t="str">
        <x:v>VIC</x:v>
      </x:c>
      <x:c r="F236" s="11" t="n">
        <x:v>62896.73</x:v>
      </x:c>
      <x:c r="G236" s="13" t="n">
        <x:v>14681</x:v>
      </x:c>
      <x:c r="H236" s="11" t="n">
        <x:v>20808.19</x:v>
      </x:c>
      <x:c r="I236" s="11" t="n">
        <x:v>62643.3</x:v>
      </x:c>
    </x:row>
    <x:row r="237">
      <x:c r="A237" t="n">
        <x:v>2023</x:v>
      </x:c>
      <x:c r="B237" t="str">
        <x:v>2023-04</x:v>
      </x:c>
      <x:c r="C237" t="str">
        <x:v>Coffee</x:v>
      </x:c>
      <x:c r="D237" t="str">
        <x:v>Hospitality</x:v>
      </x:c>
      <x:c r="E237" t="str">
        <x:v>NSW</x:v>
      </x:c>
      <x:c r="F237" s="11" t="n">
        <x:v>8461.88</x:v>
      </x:c>
      <x:c r="G237" s="13" t="n">
        <x:v>2167</x:v>
      </x:c>
      <x:c r="H237" s="11" t="n">
        <x:v>2277.56</x:v>
      </x:c>
      <x:c r="I237" s="11" t="n">
        <x:v>8424.6</x:v>
      </x:c>
    </x:row>
    <x:row r="238">
      <x:c r="A238" t="n">
        <x:v>2023</x:v>
      </x:c>
      <x:c r="B238" t="str">
        <x:v>2023-04</x:v>
      </x:c>
      <x:c r="C238" t="str">
        <x:v>Coffee</x:v>
      </x:c>
      <x:c r="D238" t="str">
        <x:v>Hospitality</x:v>
      </x:c>
      <x:c r="E238" t="str">
        <x:v>QLD</x:v>
      </x:c>
      <x:c r="F238" s="11" t="n">
        <x:v>8218.29</x:v>
      </x:c>
      <x:c r="G238" s="13" t="n">
        <x:v>2148</x:v>
      </x:c>
      <x:c r="H238" s="11" t="n">
        <x:v>2128.47</x:v>
      </x:c>
      <x:c r="I238" s="11" t="n">
        <x:v>8110.83</x:v>
      </x:c>
    </x:row>
    <x:row r="239">
      <x:c r="A239" t="n">
        <x:v>2023</x:v>
      </x:c>
      <x:c r="B239" t="str">
        <x:v>2023-04</x:v>
      </x:c>
      <x:c r="C239" t="str">
        <x:v>Coffee</x:v>
      </x:c>
      <x:c r="D239" t="str">
        <x:v>Hospitality</x:v>
      </x:c>
      <x:c r="E239" t="str">
        <x:v>VIC</x:v>
      </x:c>
      <x:c r="F239" s="11" t="n">
        <x:v>8019.87</x:v>
      </x:c>
      <x:c r="G239" s="13" t="n">
        <x:v>2071</x:v>
      </x:c>
      <x:c r="H239" s="11" t="n">
        <x:v>2117.63</x:v>
      </x:c>
      <x:c r="I239" s="11" t="n">
        <x:v>7849.2</x:v>
      </x:c>
    </x:row>
    <x:row r="240">
      <x:c r="A240" t="n">
        <x:v>2023</x:v>
      </x:c>
      <x:c r="B240" t="str">
        <x:v>2023-04</x:v>
      </x:c>
      <x:c r="C240" t="str">
        <x:v>Coffee</x:v>
      </x:c>
      <x:c r="D240" t="str">
        <x:v>Independent retail</x:v>
      </x:c>
      <x:c r="E240" t="str">
        <x:v>NSW</x:v>
      </x:c>
      <x:c r="F240" s="11" t="n">
        <x:v>23092.47</x:v>
      </x:c>
      <x:c r="G240" s="13" t="n">
        <x:v>5193</x:v>
      </x:c>
      <x:c r="H240" s="11" t="n">
        <x:v>8315.91</x:v>
      </x:c>
      <x:c r="I240" s="11" t="n">
        <x:v>22828.54</x:v>
      </x:c>
    </x:row>
    <x:row r="241">
      <x:c r="A241" t="n">
        <x:v>2023</x:v>
      </x:c>
      <x:c r="B241" t="str">
        <x:v>2023-04</x:v>
      </x:c>
      <x:c r="C241" t="str">
        <x:v>Coffee</x:v>
      </x:c>
      <x:c r="D241" t="str">
        <x:v>Independent retail</x:v>
      </x:c>
      <x:c r="E241" t="str">
        <x:v>QLD</x:v>
      </x:c>
      <x:c r="F241" s="11" t="n">
        <x:v>22989.46</x:v>
      </x:c>
      <x:c r="G241" s="13" t="n">
        <x:v>4963</x:v>
      </x:c>
      <x:c r="H241" s="11" t="n">
        <x:v>8828.31</x:v>
      </x:c>
      <x:c r="I241" s="11" t="n">
        <x:v>21947.83</x:v>
      </x:c>
    </x:row>
    <x:row r="242">
      <x:c r="A242" t="n">
        <x:v>2023</x:v>
      </x:c>
      <x:c r="B242" t="str">
        <x:v>2023-04</x:v>
      </x:c>
      <x:c r="C242" t="str">
        <x:v>Coffee</x:v>
      </x:c>
      <x:c r="D242" t="str">
        <x:v>Independent retail</x:v>
      </x:c>
      <x:c r="E242" t="str">
        <x:v>VIC</x:v>
      </x:c>
      <x:c r="F242" s="11" t="n">
        <x:v>21020.74</x:v>
      </x:c>
      <x:c r="G242" s="13" t="n">
        <x:v>4601</x:v>
      </x:c>
      <x:c r="H242" s="11" t="n">
        <x:v>7895.07</x:v>
      </x:c>
      <x:c r="I242" s="11" t="n">
        <x:v>21299.12</x:v>
      </x:c>
    </x:row>
    <x:row r="243">
      <x:c r="A243" t="n">
        <x:v>2023</x:v>
      </x:c>
      <x:c r="B243" t="str">
        <x:v>2023-04</x:v>
      </x:c>
      <x:c r="C243" t="str">
        <x:v>Coffee</x:v>
      </x:c>
      <x:c r="D243" t="str">
        <x:v>Petrol</x:v>
      </x:c>
      <x:c r="E243" t="str">
        <x:v>NSW</x:v>
      </x:c>
      <x:c r="F243" s="11" t="n">
        <x:v>25306.08</x:v>
      </x:c>
      <x:c r="G243" s="13" t="n">
        <x:v>5024</x:v>
      </x:c>
      <x:c r="H243" s="11" t="n">
        <x:v>10976.58</x:v>
      </x:c>
      <x:c r="I243" s="11" t="n">
        <x:v>24599.62</x:v>
      </x:c>
    </x:row>
    <x:row r="244">
      <x:c r="A244" t="n">
        <x:v>2023</x:v>
      </x:c>
      <x:c r="B244" t="str">
        <x:v>2023-04</x:v>
      </x:c>
      <x:c r="C244" t="str">
        <x:v>Coffee</x:v>
      </x:c>
      <x:c r="D244" t="str">
        <x:v>Petrol</x:v>
      </x:c>
      <x:c r="E244" t="str">
        <x:v>QLD</x:v>
      </x:c>
      <x:c r="F244" s="11" t="n">
        <x:v>23405.73</x:v>
      </x:c>
      <x:c r="G244" s="13" t="n">
        <x:v>4758</x:v>
      </x:c>
      <x:c r="H244" s="11" t="n">
        <x:v>9706.42</x:v>
      </x:c>
      <x:c r="I244" s="11" t="n">
        <x:v>23638.51</x:v>
      </x:c>
    </x:row>
    <x:row r="245">
      <x:c r="A245" t="n">
        <x:v>2023</x:v>
      </x:c>
      <x:c r="B245" t="str">
        <x:v>2023-04</x:v>
      </x:c>
      <x:c r="C245" t="str">
        <x:v>Coffee</x:v>
      </x:c>
      <x:c r="D245" t="str">
        <x:v>Petrol</x:v>
      </x:c>
      <x:c r="E245" t="str">
        <x:v>VIC</x:v>
      </x:c>
      <x:c r="F245" s="11" t="n">
        <x:v>23472.76</x:v>
      </x:c>
      <x:c r="G245" s="13" t="n">
        <x:v>4651</x:v>
      </x:c>
      <x:c r="H245" s="11" t="n">
        <x:v>10158.19</x:v>
      </x:c>
      <x:c r="I245" s="11" t="n">
        <x:v>22952.5</x:v>
      </x:c>
    </x:row>
    <x:row r="246">
      <x:c r="A246" t="n">
        <x:v>2023</x:v>
      </x:c>
      <x:c r="B246" t="str">
        <x:v>2023-04</x:v>
      </x:c>
      <x:c r="C246" t="str">
        <x:v>Energy</x:v>
      </x:c>
      <x:c r="D246" t="str">
        <x:v>Convenience</x:v>
      </x:c>
      <x:c r="E246" t="str">
        <x:v>NSW</x:v>
      </x:c>
      <x:c r="F246" s="11" t="n">
        <x:v>66612.99</x:v>
      </x:c>
      <x:c r="G246" s="13" t="n">
        <x:v>12711</x:v>
      </x:c>
      <x:c r="H246" s="11" t="n">
        <x:v>40504.99</x:v>
      </x:c>
      <x:c r="I246" s="11" t="n">
        <x:v>99590.23</x:v>
      </x:c>
    </x:row>
    <x:row r="247">
      <x:c r="A247" t="n">
        <x:v>2023</x:v>
      </x:c>
      <x:c r="B247" t="str">
        <x:v>2023-04</x:v>
      </x:c>
      <x:c r="C247" t="str">
        <x:v>Energy</x:v>
      </x:c>
      <x:c r="D247" t="str">
        <x:v>Convenience</x:v>
      </x:c>
      <x:c r="E247" t="str">
        <x:v>QLD</x:v>
      </x:c>
      <x:c r="F247" s="11" t="n">
        <x:v>63094.86</x:v>
      </x:c>
      <x:c r="G247" s="13" t="n">
        <x:v>11608</x:v>
      </x:c>
      <x:c r="H247" s="11" t="n">
        <x:v>38195.7</x:v>
      </x:c>
      <x:c r="I247" s="11" t="n">
        <x:v>95773.12</x:v>
      </x:c>
    </x:row>
    <x:row r="248">
      <x:c r="A248" t="n">
        <x:v>2023</x:v>
      </x:c>
      <x:c r="B248" t="str">
        <x:v>2023-04</x:v>
      </x:c>
      <x:c r="C248" t="str">
        <x:v>Energy</x:v>
      </x:c>
      <x:c r="D248" t="str">
        <x:v>Convenience</x:v>
      </x:c>
      <x:c r="E248" t="str">
        <x:v>VIC</x:v>
      </x:c>
      <x:c r="F248" s="11" t="n">
        <x:v>61472.46</x:v>
      </x:c>
      <x:c r="G248" s="13" t="n">
        <x:v>11356</x:v>
      </x:c>
      <x:c r="H248" s="11" t="n">
        <x:v>37626.14</x:v>
      </x:c>
      <x:c r="I248" s="11" t="n">
        <x:v>92885.73</x:v>
      </x:c>
    </x:row>
    <x:row r="249">
      <x:c r="A249" t="n">
        <x:v>2023</x:v>
      </x:c>
      <x:c r="B249" t="str">
        <x:v>2023-04</x:v>
      </x:c>
      <x:c r="C249" t="str">
        <x:v>Energy</x:v>
      </x:c>
      <x:c r="D249" t="str">
        <x:v>Grocery</x:v>
      </x:c>
      <x:c r="E249" t="str">
        <x:v>NSW</x:v>
      </x:c>
      <x:c r="F249" s="11" t="n">
        <x:v>263235.53</x:v>
      </x:c>
      <x:c r="G249" s="13" t="n">
        <x:v>57601</x:v>
      </x:c>
      <x:c r="H249" s="11" t="n">
        <x:v>139091.41</x:v>
      </x:c>
      <x:c r="I249" s="11" t="n">
        <x:v>248055.72</x:v>
      </x:c>
    </x:row>
    <x:row r="250">
      <x:c r="A250" t="n">
        <x:v>2023</x:v>
      </x:c>
      <x:c r="B250" t="str">
        <x:v>2023-04</x:v>
      </x:c>
      <x:c r="C250" t="str">
        <x:v>Energy</x:v>
      </x:c>
      <x:c r="D250" t="str">
        <x:v>Grocery</x:v>
      </x:c>
      <x:c r="E250" t="str">
        <x:v>QLD</x:v>
      </x:c>
      <x:c r="F250" s="11" t="n">
        <x:v>244310.54</x:v>
      </x:c>
      <x:c r="G250" s="13" t="n">
        <x:v>53854</x:v>
      </x:c>
      <x:c r="H250" s="11" t="n">
        <x:v>132698.9</x:v>
      </x:c>
      <x:c r="I250" s="11" t="n">
        <x:v>238523.55</x:v>
      </x:c>
    </x:row>
    <x:row r="251">
      <x:c r="A251" t="n">
        <x:v>2023</x:v>
      </x:c>
      <x:c r="B251" t="str">
        <x:v>2023-04</x:v>
      </x:c>
      <x:c r="C251" t="str">
        <x:v>Energy</x:v>
      </x:c>
      <x:c r="D251" t="str">
        <x:v>Grocery</x:v>
      </x:c>
      <x:c r="E251" t="str">
        <x:v>VIC</x:v>
      </x:c>
      <x:c r="F251" s="11" t="n">
        <x:v>244091.9</x:v>
      </x:c>
      <x:c r="G251" s="13" t="n">
        <x:v>53617</x:v>
      </x:c>
      <x:c r="H251" s="11" t="n">
        <x:v>131027.7</x:v>
      </x:c>
      <x:c r="I251" s="11" t="n">
        <x:v>231368.29</x:v>
      </x:c>
    </x:row>
    <x:row r="252">
      <x:c r="A252" t="n">
        <x:v>2023</x:v>
      </x:c>
      <x:c r="B252" t="str">
        <x:v>2023-04</x:v>
      </x:c>
      <x:c r="C252" t="str">
        <x:v>Energy</x:v>
      </x:c>
      <x:c r="D252" t="str">
        <x:v>Hospitality</x:v>
      </x:c>
      <x:c r="E252" t="str">
        <x:v>NSW</x:v>
      </x:c>
      <x:c r="F252" s="11" t="n">
        <x:v>32633.37</x:v>
      </x:c>
      <x:c r="G252" s="13" t="n">
        <x:v>7822</x:v>
      </x:c>
      <x:c r="H252" s="11" t="n">
        <x:v>16253.41</x:v>
      </x:c>
      <x:c r="I252" s="11" t="n">
        <x:v>31040.760000000002</x:v>
      </x:c>
    </x:row>
    <x:row r="253">
      <x:c r="A253" t="n">
        <x:v>2023</x:v>
      </x:c>
      <x:c r="B253" t="str">
        <x:v>2023-04</x:v>
      </x:c>
      <x:c r="C253" t="str">
        <x:v>Energy</x:v>
      </x:c>
      <x:c r="D253" t="str">
        <x:v>Hospitality</x:v>
      </x:c>
      <x:c r="E253" t="str">
        <x:v>QLD</x:v>
      </x:c>
      <x:c r="F253" s="11" t="n">
        <x:v>30950.24</x:v>
      </x:c>
      <x:c r="G253" s="13" t="n">
        <x:v>7379</x:v>
      </x:c>
      <x:c r="H253" s="11" t="n">
        <x:v>15674.16</x:v>
      </x:c>
      <x:c r="I253" s="11" t="n">
        <x:v>29837.44</x:v>
      </x:c>
    </x:row>
    <x:row r="254">
      <x:c r="A254" t="n">
        <x:v>2023</x:v>
      </x:c>
      <x:c r="B254" t="str">
        <x:v>2023-04</x:v>
      </x:c>
      <x:c r="C254" t="str">
        <x:v>Energy</x:v>
      </x:c>
      <x:c r="D254" t="str">
        <x:v>Hospitality</x:v>
      </x:c>
      <x:c r="E254" t="str">
        <x:v>VIC</x:v>
      </x:c>
      <x:c r="F254" s="11" t="n">
        <x:v>31313.68</x:v>
      </x:c>
      <x:c r="G254" s="13" t="n">
        <x:v>7430</x:v>
      </x:c>
      <x:c r="H254" s="11" t="n">
        <x:v>15783.28</x:v>
      </x:c>
      <x:c r="I254" s="11" t="n">
        <x:v>28963.36</x:v>
      </x:c>
    </x:row>
    <x:row r="255">
      <x:c r="A255" t="n">
        <x:v>2023</x:v>
      </x:c>
      <x:c r="B255" t="str">
        <x:v>2023-04</x:v>
      </x:c>
      <x:c r="C255" t="str">
        <x:v>Energy</x:v>
      </x:c>
      <x:c r="D255" t="str">
        <x:v>Independent retail</x:v>
      </x:c>
      <x:c r="E255" t="str">
        <x:v>NSW</x:v>
      </x:c>
      <x:c r="F255" s="11" t="n">
        <x:v>84988.27</x:v>
      </x:c>
      <x:c r="G255" s="13" t="n">
        <x:v>17604</x:v>
      </x:c>
      <x:c r="H255" s="11" t="n">
        <x:v>47915.909999999996</x:v>
      </x:c>
      <x:c r="I255" s="11" t="n">
        <x:v>84303.31999999999</x:v>
      </x:c>
    </x:row>
    <x:row r="256">
      <x:c r="A256" t="n">
        <x:v>2023</x:v>
      </x:c>
      <x:c r="B256" t="str">
        <x:v>2023-04</x:v>
      </x:c>
      <x:c r="C256" t="str">
        <x:v>Energy</x:v>
      </x:c>
      <x:c r="D256" t="str">
        <x:v>Independent retail</x:v>
      </x:c>
      <x:c r="E256" t="str">
        <x:v>QLD</x:v>
      </x:c>
      <x:c r="F256" s="11" t="n">
        <x:v>86574.04</x:v>
      </x:c>
      <x:c r="G256" s="13" t="n">
        <x:v>18094</x:v>
      </x:c>
      <x:c r="H256" s="11" t="n">
        <x:v>47543.96</x:v>
      </x:c>
      <x:c r="I256" s="11" t="n">
        <x:v>81047.28</x:v>
      </x:c>
    </x:row>
    <x:row r="257">
      <x:c r="A257" t="n">
        <x:v>2023</x:v>
      </x:c>
      <x:c r="B257" t="str">
        <x:v>2023-04</x:v>
      </x:c>
      <x:c r="C257" t="str">
        <x:v>Energy</x:v>
      </x:c>
      <x:c r="D257" t="str">
        <x:v>Independent retail</x:v>
      </x:c>
      <x:c r="E257" t="str">
        <x:v>VIC</x:v>
      </x:c>
      <x:c r="F257" s="11" t="n">
        <x:v>80459.29</x:v>
      </x:c>
      <x:c r="G257" s="13" t="n">
        <x:v>16685</x:v>
      </x:c>
      <x:c r="H257" s="11" t="n">
        <x:v>44631.13</x:v>
      </x:c>
      <x:c r="I257" s="11" t="n">
        <x:v>78622.23</x:v>
      </x:c>
    </x:row>
    <x:row r="258">
      <x:c r="A258" t="n">
        <x:v>2023</x:v>
      </x:c>
      <x:c r="B258" t="str">
        <x:v>2023-04</x:v>
      </x:c>
      <x:c r="C258" t="str">
        <x:v>Energy</x:v>
      </x:c>
      <x:c r="D258" t="str">
        <x:v>Petrol</x:v>
      </x:c>
      <x:c r="E258" t="str">
        <x:v>NSW</x:v>
      </x:c>
      <x:c r="F258" s="11" t="n">
        <x:v>95320.83</x:v>
      </x:c>
      <x:c r="G258" s="13" t="n">
        <x:v>18153</x:v>
      </x:c>
      <x:c r="H258" s="11" t="n">
        <x:v>55814.71</x:v>
      </x:c>
      <x:c r="I258" s="11" t="n">
        <x:v>90789.15</x:v>
      </x:c>
    </x:row>
    <x:row r="259">
      <x:c r="A259" t="n">
        <x:v>2023</x:v>
      </x:c>
      <x:c r="B259" t="str">
        <x:v>2023-04</x:v>
      </x:c>
      <x:c r="C259" t="str">
        <x:v>Energy</x:v>
      </x:c>
      <x:c r="D259" t="str">
        <x:v>Petrol</x:v>
      </x:c>
      <x:c r="E259" t="str">
        <x:v>QLD</x:v>
      </x:c>
      <x:c r="F259" s="11" t="n">
        <x:v>94831.1</x:v>
      </x:c>
      <x:c r="G259" s="13" t="n">
        <x:v>18703</x:v>
      </x:c>
      <x:c r="H259" s="11" t="n">
        <x:v>54766.9</x:v>
      </x:c>
      <x:c r="I259" s="11" t="n">
        <x:v>87329.18000000001</x:v>
      </x:c>
    </x:row>
    <x:row r="260">
      <x:c r="A260" t="n">
        <x:v>2023</x:v>
      </x:c>
      <x:c r="B260" t="str">
        <x:v>2023-04</x:v>
      </x:c>
      <x:c r="C260" t="str">
        <x:v>Energy</x:v>
      </x:c>
      <x:c r="D260" t="str">
        <x:v>Petrol</x:v>
      </x:c>
      <x:c r="E260" t="str">
        <x:v>VIC</x:v>
      </x:c>
      <x:c r="F260" s="11" t="n">
        <x:v>88417.02</x:v>
      </x:c>
      <x:c r="G260" s="13" t="n">
        <x:v>17272</x:v>
      </x:c>
      <x:c r="H260" s="11" t="n">
        <x:v>51536.82</x:v>
      </x:c>
      <x:c r="I260" s="11" t="n">
        <x:v>84707.44</x:v>
      </x:c>
    </x:row>
    <x:row r="261">
      <x:c r="A261" t="n">
        <x:v>2023</x:v>
      </x:c>
      <x:c r="B261" t="str">
        <x:v>2023-04</x:v>
      </x:c>
      <x:c r="C261" t="str">
        <x:v>Sparkling</x:v>
      </x:c>
      <x:c r="D261" t="str">
        <x:v>Convenience</x:v>
      </x:c>
      <x:c r="E261" t="str">
        <x:v>NSW</x:v>
      </x:c>
      <x:c r="F261" s="11" t="n">
        <x:v>124954.29</x:v>
      </x:c>
      <x:c r="G261" s="13" t="n">
        <x:v>30839</x:v>
      </x:c>
      <x:c r="H261" s="11" t="n">
        <x:v>69553.03</x:v>
      </x:c>
      <x:c r="I261" s="11" t="n">
        <x:v>121121.01</x:v>
      </x:c>
    </x:row>
    <x:row r="262">
      <x:c r="A262" t="n">
        <x:v>2023</x:v>
      </x:c>
      <x:c r="B262" t="str">
        <x:v>2023-04</x:v>
      </x:c>
      <x:c r="C262" t="str">
        <x:v>Sparkling</x:v>
      </x:c>
      <x:c r="D262" t="str">
        <x:v>Convenience</x:v>
      </x:c>
      <x:c r="E262" t="str">
        <x:v>QLD</x:v>
      </x:c>
      <x:c r="F262" s="11" t="n">
        <x:v>120792.08</x:v>
      </x:c>
      <x:c r="G262" s="13" t="n">
        <x:v>30303</x:v>
      </x:c>
      <x:c r="H262" s="11" t="n">
        <x:v>66189.64</x:v>
      </x:c>
      <x:c r="I262" s="11" t="n">
        <x:v>116460.77</x:v>
      </x:c>
    </x:row>
    <x:row r="263">
      <x:c r="A263" t="n">
        <x:v>2023</x:v>
      </x:c>
      <x:c r="B263" t="str">
        <x:v>2023-04</x:v>
      </x:c>
      <x:c r="C263" t="str">
        <x:v>Sparkling</x:v>
      </x:c>
      <x:c r="D263" t="str">
        <x:v>Convenience</x:v>
      </x:c>
      <x:c r="E263" t="str">
        <x:v>VIC</x:v>
      </x:c>
      <x:c r="F263" s="11" t="n">
        <x:v>116430.34</x:v>
      </x:c>
      <x:c r="G263" s="13" t="n">
        <x:v>29218</x:v>
      </x:c>
      <x:c r="H263" s="11" t="n">
        <x:v>63978.74</x:v>
      </x:c>
      <x:c r="I263" s="11" t="n">
        <x:v>112940.67</x:v>
      </x:c>
    </x:row>
    <x:row r="264">
      <x:c r="A264" t="n">
        <x:v>2023</x:v>
      </x:c>
      <x:c r="B264" t="str">
        <x:v>2023-04</x:v>
      </x:c>
      <x:c r="C264" t="str">
        <x:v>Sparkling</x:v>
      </x:c>
      <x:c r="D264" t="str">
        <x:v>Grocery</x:v>
      </x:c>
      <x:c r="E264" t="str">
        <x:v>NSW</x:v>
      </x:c>
      <x:c r="F264" s="11" t="n">
        <x:v>316392.63</x:v>
      </x:c>
      <x:c r="G264" s="13" t="n">
        <x:v>91542</x:v>
      </x:c>
      <x:c r="H264" s="11" t="n">
        <x:v>153798.35</x:v>
      </x:c>
      <x:c r="I264" s="11" t="n">
        <x:v>301280.63</x:v>
      </x:c>
    </x:row>
    <x:row r="265">
      <x:c r="A265" t="n">
        <x:v>2023</x:v>
      </x:c>
      <x:c r="B265" t="str">
        <x:v>2023-04</x:v>
      </x:c>
      <x:c r="C265" t="str">
        <x:v>Sparkling</x:v>
      </x:c>
      <x:c r="D265" t="str">
        <x:v>Grocery</x:v>
      </x:c>
      <x:c r="E265" t="str">
        <x:v>QLD</x:v>
      </x:c>
      <x:c r="F265" s="11" t="n">
        <x:v>296834.19</x:v>
      </x:c>
      <x:c r="G265" s="13" t="n">
        <x:v>84733</x:v>
      </x:c>
      <x:c r="H265" s="11" t="n">
        <x:v>145657.87</x:v>
      </x:c>
      <x:c r="I265" s="11" t="n">
        <x:v>289681.83</x:v>
      </x:c>
    </x:row>
    <x:row r="266">
      <x:c r="A266" t="n">
        <x:v>2023</x:v>
      </x:c>
      <x:c r="B266" t="str">
        <x:v>2023-04</x:v>
      </x:c>
      <x:c r="C266" t="str">
        <x:v>Sparkling</x:v>
      </x:c>
      <x:c r="D266" t="str">
        <x:v>Grocery</x:v>
      </x:c>
      <x:c r="E266" t="str">
        <x:v>VIC</x:v>
      </x:c>
      <x:c r="F266" s="11" t="n">
        <x:v>284922.25</x:v>
      </x:c>
      <x:c r="G266" s="13" t="n">
        <x:v>82543</x:v>
      </x:c>
      <x:c r="H266" s="11" t="n">
        <x:v>139091.47</x:v>
      </x:c>
      <x:c r="I266" s="11" t="n">
        <x:v>281008.65</x:v>
      </x:c>
    </x:row>
    <x:row r="267">
      <x:c r="A267" t="n">
        <x:v>2023</x:v>
      </x:c>
      <x:c r="B267" t="str">
        <x:v>2023-04</x:v>
      </x:c>
      <x:c r="C267" t="str">
        <x:v>Sparkling</x:v>
      </x:c>
      <x:c r="D267" t="str">
        <x:v>Hospitality</x:v>
      </x:c>
      <x:c r="E267" t="str">
        <x:v>NSW</x:v>
      </x:c>
      <x:c r="F267" s="11" t="n">
        <x:v>39700.31</x:v>
      </x:c>
      <x:c r="G267" s="13" t="n">
        <x:v>12451</x:v>
      </x:c>
      <x:c r="H267" s="11" t="n">
        <x:v>17622.11</x:v>
      </x:c>
      <x:c r="I267" s="11" t="n">
        <x:v>37661.96</x:v>
      </x:c>
    </x:row>
    <x:row r="268">
      <x:c r="A268" t="n">
        <x:v>2023</x:v>
      </x:c>
      <x:c r="B268" t="str">
        <x:v>2023-04</x:v>
      </x:c>
      <x:c r="C268" t="str">
        <x:v>Sparkling</x:v>
      </x:c>
      <x:c r="D268" t="str">
        <x:v>Hospitality</x:v>
      </x:c>
      <x:c r="E268" t="str">
        <x:v>QLD</x:v>
      </x:c>
      <x:c r="F268" s="11" t="n">
        <x:v>36767.18</x:v>
      </x:c>
      <x:c r="G268" s="13" t="n">
        <x:v>11376</x:v>
      </x:c>
      <x:c r="H268" s="11" t="n">
        <x:v>16242.74</x:v>
      </x:c>
      <x:c r="I268" s="11" t="n">
        <x:v>36212.4</x:v>
      </x:c>
    </x:row>
    <x:row r="269">
      <x:c r="A269" t="n">
        <x:v>2023</x:v>
      </x:c>
      <x:c r="B269" t="str">
        <x:v>2023-04</x:v>
      </x:c>
      <x:c r="C269" t="str">
        <x:v>Sparkling</x:v>
      </x:c>
      <x:c r="D269" t="str">
        <x:v>Hospitality</x:v>
      </x:c>
      <x:c r="E269" t="str">
        <x:v>VIC</x:v>
      </x:c>
      <x:c r="F269" s="11" t="n">
        <x:v>37451.67</x:v>
      </x:c>
      <x:c r="G269" s="13" t="n">
        <x:v>11611</x:v>
      </x:c>
      <x:c r="H269" s="11" t="n">
        <x:v>16721.87</x:v>
      </x:c>
      <x:c r="I269" s="11" t="n">
        <x:v>35123.85</x:v>
      </x:c>
    </x:row>
    <x:row r="270">
      <x:c r="A270" t="n">
        <x:v>2023</x:v>
      </x:c>
      <x:c r="B270" t="str">
        <x:v>2023-04</x:v>
      </x:c>
      <x:c r="C270" t="str">
        <x:v>Sparkling</x:v>
      </x:c>
      <x:c r="D270" t="str">
        <x:v>Independent retail</x:v>
      </x:c>
      <x:c r="E270" t="str">
        <x:v>NSW</x:v>
      </x:c>
      <x:c r="F270" s="11" t="n">
        <x:v>103456.42</x:v>
      </x:c>
      <x:c r="G270" s="13" t="n">
        <x:v>29195</x:v>
      </x:c>
      <x:c r="H270" s="11" t="n">
        <x:v>50841.82</x:v>
      </x:c>
      <x:c r="I270" s="11" t="n">
        <x:v>102410.51</x:v>
      </x:c>
    </x:row>
    <x:row r="271">
      <x:c r="A271" t="n">
        <x:v>2023</x:v>
      </x:c>
      <x:c r="B271" t="str">
        <x:v>2023-04</x:v>
      </x:c>
      <x:c r="C271" t="str">
        <x:v>Sparkling</x:v>
      </x:c>
      <x:c r="D271" t="str">
        <x:v>Independent retail</x:v>
      </x:c>
      <x:c r="E271" t="str">
        <x:v>QLD</x:v>
      </x:c>
      <x:c r="F271" s="11" t="n">
        <x:v>100480.72</x:v>
      </x:c>
      <x:c r="G271" s="13" t="n">
        <x:v>28504</x:v>
      </x:c>
      <x:c r="H271" s="11" t="n">
        <x:v>49137.72</x:v>
      </x:c>
      <x:c r="I271" s="11" t="n">
        <x:v>98452.43</x:v>
      </x:c>
    </x:row>
    <x:row r="272">
      <x:c r="A272" t="n">
        <x:v>2023</x:v>
      </x:c>
      <x:c r="B272" t="str">
        <x:v>2023-04</x:v>
      </x:c>
      <x:c r="C272" t="str">
        <x:v>Sparkling</x:v>
      </x:c>
      <x:c r="D272" t="str">
        <x:v>Independent retail</x:v>
      </x:c>
      <x:c r="E272" t="str">
        <x:v>VIC</x:v>
      </x:c>
      <x:c r="F272" s="11" t="n">
        <x:v>99166</x:v>
      </x:c>
      <x:c r="G272" s="13" t="n">
        <x:v>28249</x:v>
      </x:c>
      <x:c r="H272" s="11" t="n">
        <x:v>48473.64</x:v>
      </x:c>
      <x:c r="I272" s="11" t="n">
        <x:v>95510.65</x:v>
      </x:c>
    </x:row>
    <x:row r="273">
      <x:c r="A273" t="n">
        <x:v>2023</x:v>
      </x:c>
      <x:c r="B273" t="str">
        <x:v>2023-04</x:v>
      </x:c>
      <x:c r="C273" t="str">
        <x:v>Sparkling</x:v>
      </x:c>
      <x:c r="D273" t="str">
        <x:v>Petrol</x:v>
      </x:c>
      <x:c r="E273" t="str">
        <x:v>NSW</x:v>
      </x:c>
      <x:c r="F273" s="11" t="n">
        <x:v>112657.06</x:v>
      </x:c>
      <x:c r="G273" s="13" t="n">
        <x:v>29706</x:v>
      </x:c>
      <x:c r="H273" s="11" t="n">
        <x:v>59505.62</x:v>
      </x:c>
      <x:c r="I273" s="11" t="n">
        <x:v>110483.17</x:v>
      </x:c>
    </x:row>
    <x:row r="274">
      <x:c r="A274" t="n">
        <x:v>2023</x:v>
      </x:c>
      <x:c r="B274" t="str">
        <x:v>2023-04</x:v>
      </x:c>
      <x:c r="C274" t="str">
        <x:v>Sparkling</x:v>
      </x:c>
      <x:c r="D274" t="str">
        <x:v>Petrol</x:v>
      </x:c>
      <x:c r="E274" t="str">
        <x:v>QLD</x:v>
      </x:c>
      <x:c r="F274" s="11" t="n">
        <x:v>109328.72</x:v>
      </x:c>
      <x:c r="G274" s="13" t="n">
        <x:v>28262</x:v>
      </x:c>
      <x:c r="H274" s="11" t="n">
        <x:v>59028.98</x:v>
      </x:c>
      <x:c r="I274" s="11" t="n">
        <x:v>106215.78</x:v>
      </x:c>
    </x:row>
    <x:row r="275">
      <x:c r="A275" t="n">
        <x:v>2023</x:v>
      </x:c>
      <x:c r="B275" t="str">
        <x:v>2023-04</x:v>
      </x:c>
      <x:c r="C275" t="str">
        <x:v>Sparkling</x:v>
      </x:c>
      <x:c r="D275" t="str">
        <x:v>Petrol</x:v>
      </x:c>
      <x:c r="E275" t="str">
        <x:v>VIC</x:v>
      </x:c>
      <x:c r="F275" s="11" t="n">
        <x:v>106998.54</x:v>
      </x:c>
      <x:c r="G275" s="13" t="n">
        <x:v>28048</x:v>
      </x:c>
      <x:c r="H275" s="11" t="n">
        <x:v>57082.38</x:v>
      </x:c>
      <x:c r="I275" s="11" t="n">
        <x:v>103036.87</x:v>
      </x:c>
    </x:row>
    <x:row r="276">
      <x:c r="A276" t="n">
        <x:v>2023</x:v>
      </x:c>
      <x:c r="B276" t="str">
        <x:v>2023-04</x:v>
      </x:c>
      <x:c r="C276" t="str">
        <x:v>Sports</x:v>
      </x:c>
      <x:c r="D276" t="str">
        <x:v>Convenience</x:v>
      </x:c>
      <x:c r="E276" t="str">
        <x:v>NSW</x:v>
      </x:c>
      <x:c r="F276" s="11" t="n">
        <x:v>69578.8</x:v>
      </x:c>
      <x:c r="G276" s="13" t="n">
        <x:v>13596</x:v>
      </x:c>
      <x:c r="H276" s="11" t="n">
        <x:v>37965.48</x:v>
      </x:c>
      <x:c r="I276" s="11" t="n">
        <x:v>66902.39</x:v>
      </x:c>
    </x:row>
    <x:row r="277">
      <x:c r="A277" t="n">
        <x:v>2023</x:v>
      </x:c>
      <x:c r="B277" t="str">
        <x:v>2023-04</x:v>
      </x:c>
      <x:c r="C277" t="str">
        <x:v>Sports</x:v>
      </x:c>
      <x:c r="D277" t="str">
        <x:v>Convenience</x:v>
      </x:c>
      <x:c r="E277" t="str">
        <x:v>QLD</x:v>
      </x:c>
      <x:c r="F277" s="11" t="n">
        <x:v>66559.45</x:v>
      </x:c>
      <x:c r="G277" s="13" t="n">
        <x:v>13890</x:v>
      </x:c>
      <x:c r="H277" s="11" t="n">
        <x:v>34809.1</x:v>
      </x:c>
      <x:c r="I277" s="11" t="n">
        <x:v>64323.25</x:v>
      </x:c>
    </x:row>
    <x:row r="278">
      <x:c r="A278" t="n">
        <x:v>2023</x:v>
      </x:c>
      <x:c r="B278" t="str">
        <x:v>2023-04</x:v>
      </x:c>
      <x:c r="C278" t="str">
        <x:v>Sports</x:v>
      </x:c>
      <x:c r="D278" t="str">
        <x:v>Convenience</x:v>
      </x:c>
      <x:c r="E278" t="str">
        <x:v>VIC</x:v>
      </x:c>
      <x:c r="F278" s="11" t="n">
        <x:v>64623.62</x:v>
      </x:c>
      <x:c r="G278" s="13" t="n">
        <x:v>13189</x:v>
      </x:c>
      <x:c r="H278" s="11" t="n">
        <x:v>34456.72</x:v>
      </x:c>
      <x:c r="I278" s="11" t="n">
        <x:v>62412.77</x:v>
      </x:c>
    </x:row>
    <x:row r="279">
      <x:c r="A279" t="n">
        <x:v>2023</x:v>
      </x:c>
      <x:c r="B279" t="str">
        <x:v>2023-04</x:v>
      </x:c>
      <x:c r="C279" t="str">
        <x:v>Sports</x:v>
      </x:c>
      <x:c r="D279" t="str">
        <x:v>Grocery</x:v>
      </x:c>
      <x:c r="E279" t="str">
        <x:v>NSW</x:v>
      </x:c>
      <x:c r="F279" s="11" t="n">
        <x:v>169552.5</x:v>
      </x:c>
      <x:c r="G279" s="13" t="n">
        <x:v>40073</x:v>
      </x:c>
      <x:c r="H279" s="11" t="n">
        <x:v>78707.91</x:v>
      </x:c>
      <x:c r="I279" s="11" t="n">
        <x:v>166041.99</x:v>
      </x:c>
    </x:row>
    <x:row r="280">
      <x:c r="A280" t="n">
        <x:v>2023</x:v>
      </x:c>
      <x:c r="B280" t="str">
        <x:v>2023-04</x:v>
      </x:c>
      <x:c r="C280" t="str">
        <x:v>Sports</x:v>
      </x:c>
      <x:c r="D280" t="str">
        <x:v>Grocery</x:v>
      </x:c>
      <x:c r="E280" t="str">
        <x:v>QLD</x:v>
      </x:c>
      <x:c r="F280" s="11" t="n">
        <x:v>161491.29</x:v>
      </x:c>
      <x:c r="G280" s="13" t="n">
        <x:v>36811</x:v>
      </x:c>
      <x:c r="H280" s="11" t="n">
        <x:v>77411.58</x:v>
      </x:c>
      <x:c r="I280" s="11" t="n">
        <x:v>159626.98</x:v>
      </x:c>
    </x:row>
    <x:row r="281">
      <x:c r="A281" t="n">
        <x:v>2023</x:v>
      </x:c>
      <x:c r="B281" t="str">
        <x:v>2023-04</x:v>
      </x:c>
      <x:c r="C281" t="str">
        <x:v>Sports</x:v>
      </x:c>
      <x:c r="D281" t="str">
        <x:v>Grocery</x:v>
      </x:c>
      <x:c r="E281" t="str">
        <x:v>VIC</x:v>
      </x:c>
      <x:c r="F281" s="11" t="n">
        <x:v>164332.31</x:v>
      </x:c>
      <x:c r="G281" s="13" t="n">
        <x:v>38013</x:v>
      </x:c>
      <x:c r="H281" s="11" t="n">
        <x:v>78123.24</x:v>
      </x:c>
      <x:c r="I281" s="11" t="n">
        <x:v>154884.43</x:v>
      </x:c>
    </x:row>
    <x:row r="282">
      <x:c r="A282" t="n">
        <x:v>2023</x:v>
      </x:c>
      <x:c r="B282" t="str">
        <x:v>2023-04</x:v>
      </x:c>
      <x:c r="C282" t="str">
        <x:v>Sports</x:v>
      </x:c>
      <x:c r="D282" t="str">
        <x:v>Hospitality</x:v>
      </x:c>
      <x:c r="E282" t="str">
        <x:v>NSW</x:v>
      </x:c>
      <x:c r="F282" s="11" t="n">
        <x:v>21443.1</x:v>
      </x:c>
      <x:c r="G282" s="13" t="n">
        <x:v>5380</x:v>
      </x:c>
      <x:c r="H282" s="11" t="n">
        <x:v>9231.07</x:v>
      </x:c>
      <x:c r="I282" s="11" t="n">
        <x:v>20788.29</x:v>
      </x:c>
    </x:row>
    <x:row r="283">
      <x:c r="A283" t="n">
        <x:v>2023</x:v>
      </x:c>
      <x:c r="B283" t="str">
        <x:v>2023-04</x:v>
      </x:c>
      <x:c r="C283" t="str">
        <x:v>Sports</x:v>
      </x:c>
      <x:c r="D283" t="str">
        <x:v>Hospitality</x:v>
      </x:c>
      <x:c r="E283" t="str">
        <x:v>QLD</x:v>
      </x:c>
      <x:c r="F283" s="11" t="n">
        <x:v>20935.06</x:v>
      </x:c>
      <x:c r="G283" s="13" t="n">
        <x:v>5177</x:v>
      </x:c>
      <x:c r="H283" s="11" t="n">
        <x:v>8926.02</x:v>
      </x:c>
      <x:c r="I283" s="11" t="n">
        <x:v>19985.170000000002</x:v>
      </x:c>
    </x:row>
    <x:row r="284">
      <x:c r="A284" t="n">
        <x:v>2023</x:v>
      </x:c>
      <x:c r="B284" t="str">
        <x:v>2023-04</x:v>
      </x:c>
      <x:c r="C284" t="str">
        <x:v>Sports</x:v>
      </x:c>
      <x:c r="D284" t="str">
        <x:v>Hospitality</x:v>
      </x:c>
      <x:c r="E284" t="str">
        <x:v>VIC</x:v>
      </x:c>
      <x:c r="F284" s="11" t="n">
        <x:v>20026.46</x:v>
      </x:c>
      <x:c r="G284" s="13" t="n">
        <x:v>4961</x:v>
      </x:c>
      <x:c r="H284" s="11" t="n">
        <x:v>8696.42</x:v>
      </x:c>
      <x:c r="I284" s="11" t="n">
        <x:v>19395.46</x:v>
      </x:c>
    </x:row>
    <x:row r="285">
      <x:c r="A285" t="n">
        <x:v>2023</x:v>
      </x:c>
      <x:c r="B285" t="str">
        <x:v>2023-04</x:v>
      </x:c>
      <x:c r="C285" t="str">
        <x:v>Sports</x:v>
      </x:c>
      <x:c r="D285" t="str">
        <x:v>Independent retail</x:v>
      </x:c>
      <x:c r="E285" t="str">
        <x:v>NSW</x:v>
      </x:c>
      <x:c r="F285" s="11" t="n">
        <x:v>56183.61</x:v>
      </x:c>
      <x:c r="G285" s="13" t="n">
        <x:v>12980</x:v>
      </x:c>
      <x:c r="H285" s="11" t="n">
        <x:v>26622.38</x:v>
      </x:c>
      <x:c r="I285" s="11" t="n">
        <x:v>56474.55</x:v>
      </x:c>
    </x:row>
    <x:row r="286">
      <x:c r="A286" t="n">
        <x:v>2023</x:v>
      </x:c>
      <x:c r="B286" t="str">
        <x:v>2023-04</x:v>
      </x:c>
      <x:c r="C286" t="str">
        <x:v>Sports</x:v>
      </x:c>
      <x:c r="D286" t="str">
        <x:v>Independent retail</x:v>
      </x:c>
      <x:c r="E286" t="str">
        <x:v>QLD</x:v>
      </x:c>
      <x:c r="F286" s="11" t="n">
        <x:v>55783.47</x:v>
      </x:c>
      <x:c r="G286" s="13" t="n">
        <x:v>13285</x:v>
      </x:c>
      <x:c r="H286" s="11" t="n">
        <x:v>25723.579999999998</x:v>
      </x:c>
      <x:c r="I286" s="11" t="n">
        <x:v>54279.64</x:v>
      </x:c>
    </x:row>
    <x:row r="287">
      <x:c r="A287" t="n">
        <x:v>2023</x:v>
      </x:c>
      <x:c r="B287" t="str">
        <x:v>2023-04</x:v>
      </x:c>
      <x:c r="C287" t="str">
        <x:v>Sports</x:v>
      </x:c>
      <x:c r="D287" t="str">
        <x:v>Independent retail</x:v>
      </x:c>
      <x:c r="E287" t="str">
        <x:v>VIC</x:v>
      </x:c>
      <x:c r="F287" s="11" t="n">
        <x:v>55786.71</x:v>
      </x:c>
      <x:c r="G287" s="13" t="n">
        <x:v>13081</x:v>
      </x:c>
      <x:c r="H287" s="11" t="n">
        <x:v>25831.4</x:v>
      </x:c>
      <x:c r="I287" s="11" t="n">
        <x:v>52648.78</x:v>
      </x:c>
    </x:row>
    <x:row r="288">
      <x:c r="A288" t="n">
        <x:v>2023</x:v>
      </x:c>
      <x:c r="B288" t="str">
        <x:v>2023-04</x:v>
      </x:c>
      <x:c r="C288" t="str">
        <x:v>Sports</x:v>
      </x:c>
      <x:c r="D288" t="str">
        <x:v>Petrol</x:v>
      </x:c>
      <x:c r="E288" t="str">
        <x:v>NSW</x:v>
      </x:c>
      <x:c r="F288" s="11" t="n">
        <x:v>62838.38</x:v>
      </x:c>
      <x:c r="G288" s="13" t="n">
        <x:v>13571</x:v>
      </x:c>
      <x:c r="H288" s="11" t="n">
        <x:v>31789.03</x:v>
      </x:c>
      <x:c r="I288" s="11" t="n">
        <x:v>61193.55</x:v>
      </x:c>
    </x:row>
    <x:row r="289">
      <x:c r="A289" t="n">
        <x:v>2023</x:v>
      </x:c>
      <x:c r="B289" t="str">
        <x:v>2023-04</x:v>
      </x:c>
      <x:c r="C289" t="str">
        <x:v>Sports</x:v>
      </x:c>
      <x:c r="D289" t="str">
        <x:v>Petrol</x:v>
      </x:c>
      <x:c r="E289" t="str">
        <x:v>QLD</x:v>
      </x:c>
      <x:c r="F289" s="11" t="n">
        <x:v>60859.57</x:v>
      </x:c>
      <x:c r="G289" s="13" t="n">
        <x:v>12935</x:v>
      </x:c>
      <x:c r="H289" s="11" t="n">
        <x:v>31692.35</x:v>
      </x:c>
      <x:c r="I289" s="11" t="n">
        <x:v>58798.89</x:v>
      </x:c>
    </x:row>
    <x:row r="290">
      <x:c r="A290" t="n">
        <x:v>2023</x:v>
      </x:c>
      <x:c r="B290" t="str">
        <x:v>2023-04</x:v>
      </x:c>
      <x:c r="C290" t="str">
        <x:v>Sports</x:v>
      </x:c>
      <x:c r="D290" t="str">
        <x:v>Petrol</x:v>
      </x:c>
      <x:c r="E290" t="str">
        <x:v>VIC</x:v>
      </x:c>
      <x:c r="F290" s="11" t="n">
        <x:v>57576.22</x:v>
      </x:c>
      <x:c r="G290" s="13" t="n">
        <x:v>12542</x:v>
      </x:c>
      <x:c r="H290" s="11" t="n">
        <x:v>29263.22</x:v>
      </x:c>
      <x:c r="I290" s="11" t="n">
        <x:v>57045.73</x:v>
      </x:c>
    </x:row>
    <x:row r="291">
      <x:c r="A291" t="n">
        <x:v>2023</x:v>
      </x:c>
      <x:c r="B291" t="str">
        <x:v>2023-04</x:v>
      </x:c>
      <x:c r="C291" t="str">
        <x:v>Water</x:v>
      </x:c>
      <x:c r="D291" t="str">
        <x:v>Convenience</x:v>
      </x:c>
      <x:c r="E291" t="str">
        <x:v>NSW</x:v>
      </x:c>
      <x:c r="F291" s="11" t="n">
        <x:v>81987.35</x:v>
      </x:c>
      <x:c r="G291" s="13" t="n">
        <x:v>26835</x:v>
      </x:c>
      <x:c r="H291" s="11" t="n">
        <x:v>39635.99</x:v>
      </x:c>
      <x:c r="I291" s="11" t="n">
        <x:v>79671.92</x:v>
      </x:c>
    </x:row>
    <x:row r="292">
      <x:c r="A292" t="n">
        <x:v>2023</x:v>
      </x:c>
      <x:c r="B292" t="str">
        <x:v>2023-04</x:v>
      </x:c>
      <x:c r="C292" t="str">
        <x:v>Water</x:v>
      </x:c>
      <x:c r="D292" t="str">
        <x:v>Convenience</x:v>
      </x:c>
      <x:c r="E292" t="str">
        <x:v>QLD</x:v>
      </x:c>
      <x:c r="F292" s="11" t="n">
        <x:v>77429.4</x:v>
      </x:c>
      <x:c r="G292" s="13" t="n">
        <x:v>24787</x:v>
      </x:c>
      <x:c r="H292" s="11" t="n">
        <x:v>38925.32</x:v>
      </x:c>
      <x:c r="I292" s="11" t="n">
        <x:v>76609.25</x:v>
      </x:c>
    </x:row>
    <x:row r="293">
      <x:c r="A293" t="n">
        <x:v>2023</x:v>
      </x:c>
      <x:c r="B293" t="str">
        <x:v>2023-04</x:v>
      </x:c>
      <x:c r="C293" t="str">
        <x:v>Water</x:v>
      </x:c>
      <x:c r="D293" t="str">
        <x:v>Convenience</x:v>
      </x:c>
      <x:c r="E293" t="str">
        <x:v>VIC</x:v>
      </x:c>
      <x:c r="F293" s="11" t="n">
        <x:v>76053.79</x:v>
      </x:c>
      <x:c r="G293" s="13" t="n">
        <x:v>24593</x:v>
      </x:c>
      <x:c r="H293" s="11" t="n">
        <x:v>37588.91</x:v>
      </x:c>
      <x:c r="I293" s="11" t="n">
        <x:v>74301.23</x:v>
      </x:c>
    </x:row>
    <x:row r="294">
      <x:c r="A294" t="n">
        <x:v>2023</x:v>
      </x:c>
      <x:c r="B294" t="str">
        <x:v>2023-04</x:v>
      </x:c>
      <x:c r="C294" t="str">
        <x:v>Water</x:v>
      </x:c>
      <x:c r="D294" t="str">
        <x:v>Grocery</x:v>
      </x:c>
      <x:c r="E294" t="str">
        <x:v>NSW</x:v>
      </x:c>
      <x:c r="F294" s="11" t="n">
        <x:v>202834.79</x:v>
      </x:c>
      <x:c r="G294" s="13" t="n">
        <x:v>74728</x:v>
      </x:c>
      <x:c r="H294" s="11" t="n">
        <x:v>83446.71</x:v>
      </x:c>
      <x:c r="I294" s="11" t="n">
        <x:v>198815.62</x:v>
      </x:c>
    </x:row>
    <x:row r="295">
      <x:c r="A295" t="n">
        <x:v>2023</x:v>
      </x:c>
      <x:c r="B295" t="str">
        <x:v>2023-04</x:v>
      </x:c>
      <x:c r="C295" t="str">
        <x:v>Water</x:v>
      </x:c>
      <x:c r="D295" t="str">
        <x:v>Grocery</x:v>
      </x:c>
      <x:c r="E295" t="str">
        <x:v>QLD</x:v>
      </x:c>
      <x:c r="F295" s="11" t="n">
        <x:v>194219.06</x:v>
      </x:c>
      <x:c r="G295" s="13" t="n">
        <x:v>74075</x:v>
      </x:c>
      <x:c r="H295" s="11" t="n">
        <x:v>77266.02</x:v>
      </x:c>
      <x:c r="I295" s="11" t="n">
        <x:v>191167.25</x:v>
      </x:c>
    </x:row>
    <x:row r="296">
      <x:c r="A296" t="n">
        <x:v>2023</x:v>
      </x:c>
      <x:c r="B296" t="str">
        <x:v>2023-04</x:v>
      </x:c>
      <x:c r="C296" t="str">
        <x:v>Water</x:v>
      </x:c>
      <x:c r="D296" t="str">
        <x:v>Grocery</x:v>
      </x:c>
      <x:c r="E296" t="str">
        <x:v>VIC</x:v>
      </x:c>
      <x:c r="F296" s="11" t="n">
        <x:v>192420.75</x:v>
      </x:c>
      <x:c r="G296" s="13" t="n">
        <x:v>72560</x:v>
      </x:c>
      <x:c r="H296" s="11" t="n">
        <x:v>76989.95</x:v>
      </x:c>
      <x:c r="I296" s="11" t="n">
        <x:v>185426.61</x:v>
      </x:c>
    </x:row>
    <x:row r="297">
      <x:c r="A297" t="n">
        <x:v>2023</x:v>
      </x:c>
      <x:c r="B297" t="str">
        <x:v>2023-04</x:v>
      </x:c>
      <x:c r="C297" t="str">
        <x:v>Water</x:v>
      </x:c>
      <x:c r="D297" t="str">
        <x:v>Hospitality</x:v>
      </x:c>
      <x:c r="E297" t="str">
        <x:v>NSW</x:v>
      </x:c>
      <x:c r="F297" s="11" t="n">
        <x:v>26276.41</x:v>
      </x:c>
      <x:c r="G297" s="13" t="n">
        <x:v>10832</x:v>
      </x:c>
      <x:c r="H297" s="11" t="n">
        <x:v>9196.41</x:v>
      </x:c>
      <x:c r="I297" s="11" t="n">
        <x:v>24855.69</x:v>
      </x:c>
    </x:row>
    <x:row r="298">
      <x:c r="A298" t="n">
        <x:v>2023</x:v>
      </x:c>
      <x:c r="B298" t="str">
        <x:v>2023-04</x:v>
      </x:c>
      <x:c r="C298" t="str">
        <x:v>Water</x:v>
      </x:c>
      <x:c r="D298" t="str">
        <x:v>Hospitality</x:v>
      </x:c>
      <x:c r="E298" t="str">
        <x:v>QLD</x:v>
      </x:c>
      <x:c r="F298" s="11" t="n">
        <x:v>24544.93</x:v>
      </x:c>
      <x:c r="G298" s="13" t="n">
        <x:v>10212</x:v>
      </x:c>
      <x:c r="H298" s="11" t="n">
        <x:v>8532.21</x:v>
      </x:c>
      <x:c r="I298" s="11" t="n">
        <x:v>23901.66</x:v>
      </x:c>
    </x:row>
    <x:row r="299">
      <x:c r="A299" t="n">
        <x:v>2023</x:v>
      </x:c>
      <x:c r="B299" t="str">
        <x:v>2023-04</x:v>
      </x:c>
      <x:c r="C299" t="str">
        <x:v>Water</x:v>
      </x:c>
      <x:c r="D299" t="str">
        <x:v>Hospitality</x:v>
      </x:c>
      <x:c r="E299" t="str">
        <x:v>VIC</x:v>
      </x:c>
      <x:c r="F299" s="11" t="n">
        <x:v>24096.08</x:v>
      </x:c>
      <x:c r="G299" s="13" t="n">
        <x:v>10174</x:v>
      </x:c>
      <x:c r="H299" s="11" t="n">
        <x:v>8208.72</x:v>
      </x:c>
      <x:c r="I299" s="11" t="n">
        <x:v>23183.28</x:v>
      </x:c>
    </x:row>
    <x:row r="300">
      <x:c r="A300" t="n">
        <x:v>2023</x:v>
      </x:c>
      <x:c r="B300" t="str">
        <x:v>2023-04</x:v>
      </x:c>
      <x:c r="C300" t="str">
        <x:v>Water</x:v>
      </x:c>
      <x:c r="D300" t="str">
        <x:v>Independent retail</x:v>
      </x:c>
      <x:c r="E300" t="str">
        <x:v>NSW</x:v>
      </x:c>
      <x:c r="F300" s="11" t="n">
        <x:v>68374.25</x:v>
      </x:c>
      <x:c r="G300" s="13" t="n">
        <x:v>24987</x:v>
      </x:c>
      <x:c r="H300" s="11" t="n">
        <x:v>29431.21</x:v>
      </x:c>
      <x:c r="I300" s="11" t="n">
        <x:v>67586</x:v>
      </x:c>
    </x:row>
    <x:row r="301">
      <x:c r="A301" t="n">
        <x:v>2023</x:v>
      </x:c>
      <x:c r="B301" t="str">
        <x:v>2023-04</x:v>
      </x:c>
      <x:c r="C301" t="str">
        <x:v>Water</x:v>
      </x:c>
      <x:c r="D301" t="str">
        <x:v>Independent retail</x:v>
      </x:c>
      <x:c r="E301" t="str">
        <x:v>QLD</x:v>
      </x:c>
      <x:c r="F301" s="11" t="n">
        <x:v>68082.05</x:v>
      </x:c>
      <x:c r="G301" s="13" t="n">
        <x:v>23881</x:v>
      </x:c>
      <x:c r="H301" s="11" t="n">
        <x:v>30361.21</x:v>
      </x:c>
      <x:c r="I301" s="11" t="n">
        <x:v>64978.06</x:v>
      </x:c>
    </x:row>
    <x:row r="302">
      <x:c r="A302" t="n">
        <x:v>2023</x:v>
      </x:c>
      <x:c r="B302" t="str">
        <x:v>2023-04</x:v>
      </x:c>
      <x:c r="C302" t="str">
        <x:v>Water</x:v>
      </x:c>
      <x:c r="D302" t="str">
        <x:v>Independent retail</x:v>
      </x:c>
      <x:c r="E302" t="str">
        <x:v>VIC</x:v>
      </x:c>
      <x:c r="F302" s="11" t="n">
        <x:v>64843.73</x:v>
      </x:c>
      <x:c r="G302" s="13" t="n">
        <x:v>23130</x:v>
      </x:c>
      <x:c r="H302" s="11" t="n">
        <x:v>28632.29</x:v>
      </x:c>
      <x:c r="I302" s="11" t="n">
        <x:v>63034.91</x:v>
      </x:c>
    </x:row>
    <x:row r="303">
      <x:c r="A303" t="n">
        <x:v>2023</x:v>
      </x:c>
      <x:c r="B303" t="str">
        <x:v>2023-04</x:v>
      </x:c>
      <x:c r="C303" t="str">
        <x:v>Water</x:v>
      </x:c>
      <x:c r="D303" t="str">
        <x:v>Petrol</x:v>
      </x:c>
      <x:c r="E303" t="str">
        <x:v>NSW</x:v>
      </x:c>
      <x:c r="F303" s="11" t="n">
        <x:v>75436.14</x:v>
      </x:c>
      <x:c r="G303" s="13" t="n">
        <x:v>24314</x:v>
      </x:c>
      <x:c r="H303" s="11" t="n">
        <x:v>37037.1</x:v>
      </x:c>
      <x:c r="I303" s="11" t="n">
        <x:v>72757.68</x:v>
      </x:c>
    </x:row>
    <x:row r="304">
      <x:c r="A304" t="n">
        <x:v>2023</x:v>
      </x:c>
      <x:c r="B304" t="str">
        <x:v>2023-04</x:v>
      </x:c>
      <x:c r="C304" t="str">
        <x:v>Water</x:v>
      </x:c>
      <x:c r="D304" t="str">
        <x:v>Petrol</x:v>
      </x:c>
      <x:c r="E304" t="str">
        <x:v>QLD</x:v>
      </x:c>
      <x:c r="F304" s="11" t="n">
        <x:v>73994.3</x:v>
      </x:c>
      <x:c r="G304" s="13" t="n">
        <x:v>24380</x:v>
      </x:c>
      <x:c r="H304" s="11" t="n">
        <x:v>35050.98</x:v>
      </x:c>
      <x:c r="I304" s="11" t="n">
        <x:v>69977.17</x:v>
      </x:c>
    </x:row>
    <x:row r="305">
      <x:c r="A305" t="n">
        <x:v>2023</x:v>
      </x:c>
      <x:c r="B305" t="str">
        <x:v>2023-04</x:v>
      </x:c>
      <x:c r="C305" t="str">
        <x:v>Water</x:v>
      </x:c>
      <x:c r="D305" t="str">
        <x:v>Petrol</x:v>
      </x:c>
      <x:c r="E305" t="str">
        <x:v>VIC</x:v>
      </x:c>
      <x:c r="F305" s="11" t="n">
        <x:v>69015.81</x:v>
      </x:c>
      <x:c r="G305" s="13" t="n">
        <x:v>22669</x:v>
      </x:c>
      <x:c r="H305" s="11" t="n">
        <x:v>33422.81</x:v>
      </x:c>
      <x:c r="I305" s="11" t="n">
        <x:v>67873.19</x:v>
      </x:c>
    </x:row>
    <x:row r="306">
      <x:c r="A306" t="n">
        <x:v>2023</x:v>
      </x:c>
      <x:c r="B306" t="str">
        <x:v>2023-05</x:v>
      </x:c>
      <x:c r="C306" t="str">
        <x:v>Coffee</x:v>
      </x:c>
      <x:c r="D306" t="str">
        <x:v>Convenience</x:v>
      </x:c>
      <x:c r="E306" t="str">
        <x:v>NSW</x:v>
      </x:c>
      <x:c r="F306" s="11" t="n">
        <x:v>25921.06</x:v>
      </x:c>
      <x:c r="G306" s="13" t="n">
        <x:v>5065</x:v>
      </x:c>
      <x:c r="H306" s="11" t="n">
        <x:v>11502.13</x:v>
      </x:c>
      <x:c r="I306" s="11" t="n">
        <x:v>25738.47</x:v>
      </x:c>
    </x:row>
    <x:row r="307">
      <x:c r="A307" t="n">
        <x:v>2023</x:v>
      </x:c>
      <x:c r="B307" t="str">
        <x:v>2023-05</x:v>
      </x:c>
      <x:c r="C307" t="str">
        <x:v>Coffee</x:v>
      </x:c>
      <x:c r="D307" t="str">
        <x:v>Convenience</x:v>
      </x:c>
      <x:c r="E307" t="str">
        <x:v>QLD</x:v>
      </x:c>
      <x:c r="F307" s="11" t="n">
        <x:v>25343.7</x:v>
      </x:c>
      <x:c r="G307" s="13" t="n">
        <x:v>5050</x:v>
      </x:c>
      <x:c r="H307" s="11" t="n">
        <x:v>10743.04</x:v>
      </x:c>
      <x:c r="I307" s="11" t="n">
        <x:v>24745.9</x:v>
      </x:c>
    </x:row>
    <x:row r="308">
      <x:c r="A308" t="n">
        <x:v>2023</x:v>
      </x:c>
      <x:c r="B308" t="str">
        <x:v>2023-05</x:v>
      </x:c>
      <x:c r="C308" t="str">
        <x:v>Coffee</x:v>
      </x:c>
      <x:c r="D308" t="str">
        <x:v>Convenience</x:v>
      </x:c>
      <x:c r="E308" t="str">
        <x:v>VIC</x:v>
      </x:c>
      <x:c r="F308" s="11" t="n">
        <x:v>24850.18</x:v>
      </x:c>
      <x:c r="G308" s="13" t="n">
        <x:v>4939</x:v>
      </x:c>
      <x:c r="H308" s="11" t="n">
        <x:v>10685.55</x:v>
      </x:c>
      <x:c r="I308" s="11" t="n">
        <x:v>23992.32</x:v>
      </x:c>
    </x:row>
    <x:row r="309">
      <x:c r="A309" t="n">
        <x:v>2023</x:v>
      </x:c>
      <x:c r="B309" t="str">
        <x:v>2023-05</x:v>
      </x:c>
      <x:c r="C309" t="str">
        <x:v>Coffee</x:v>
      </x:c>
      <x:c r="D309" t="str">
        <x:v>Grocery</x:v>
      </x:c>
      <x:c r="E309" t="str">
        <x:v>NSW</x:v>
      </x:c>
      <x:c r="F309" s="11" t="n">
        <x:v>64413.57</x:v>
      </x:c>
      <x:c r="G309" s="13" t="n">
        <x:v>14683</x:v>
      </x:c>
      <x:c r="H309" s="11" t="n">
        <x:v>22367.29</x:v>
      </x:c>
      <x:c r="I309" s="11" t="n">
        <x:v>63888.4</x:v>
      </x:c>
    </x:row>
    <x:row r="310">
      <x:c r="A310" t="n">
        <x:v>2023</x:v>
      </x:c>
      <x:c r="B310" t="str">
        <x:v>2023-05</x:v>
      </x:c>
      <x:c r="C310" t="str">
        <x:v>Coffee</x:v>
      </x:c>
      <x:c r="D310" t="str">
        <x:v>Grocery</x:v>
      </x:c>
      <x:c r="E310" t="str">
        <x:v>QLD</x:v>
      </x:c>
      <x:c r="F310" s="11" t="n">
        <x:v>61897.840000000004</x:v>
      </x:c>
      <x:c r="G310" s="13" t="n">
        <x:v>13700</x:v>
      </x:c>
      <x:c r="H310" s="11" t="n">
        <x:v>22736.74</x:v>
      </x:c>
      <x:c r="I310" s="11" t="n">
        <x:v>61409.97</x:v>
      </x:c>
    </x:row>
    <x:row r="311">
      <x:c r="A311" t="n">
        <x:v>2023</x:v>
      </x:c>
      <x:c r="B311" t="str">
        <x:v>2023-05</x:v>
      </x:c>
      <x:c r="C311" t="str">
        <x:v>Coffee</x:v>
      </x:c>
      <x:c r="D311" t="str">
        <x:v>Grocery</x:v>
      </x:c>
      <x:c r="E311" t="str">
        <x:v>VIC</x:v>
      </x:c>
      <x:c r="F311" s="11" t="n">
        <x:v>59313.56</x:v>
      </x:c>
      <x:c r="G311" s="13" t="n">
        <x:v>13431</x:v>
      </x:c>
      <x:c r="H311" s="11" t="n">
        <x:v>21314.93</x:v>
      </x:c>
      <x:c r="I311" s="11" t="n">
        <x:v>59565.25</x:v>
      </x:c>
    </x:row>
    <x:row r="312">
      <x:c r="A312" t="n">
        <x:v>2023</x:v>
      </x:c>
      <x:c r="B312" t="str">
        <x:v>2023-05</x:v>
      </x:c>
      <x:c r="C312" t="str">
        <x:v>Coffee</x:v>
      </x:c>
      <x:c r="D312" t="str">
        <x:v>Hospitality</x:v>
      </x:c>
      <x:c r="E312" t="str">
        <x:v>NSW</x:v>
      </x:c>
      <x:c r="F312" s="11" t="n">
        <x:v>8127.35</x:v>
      </x:c>
      <x:c r="G312" s="13" t="n">
        <x:v>1960</x:v>
      </x:c>
      <x:c r="H312" s="11" t="n">
        <x:v>2484.2</x:v>
      </x:c>
      <x:c r="I312" s="11" t="n">
        <x:v>8008.17</x:v>
      </x:c>
    </x:row>
    <x:row r="313">
      <x:c r="A313" t="n">
        <x:v>2023</x:v>
      </x:c>
      <x:c r="B313" t="str">
        <x:v>2023-05</x:v>
      </x:c>
      <x:c r="C313" t="str">
        <x:v>Coffee</x:v>
      </x:c>
      <x:c r="D313" t="str">
        <x:v>Hospitality</x:v>
      </x:c>
      <x:c r="E313" t="str">
        <x:v>QLD</x:v>
      </x:c>
      <x:c r="F313" s="11" t="n">
        <x:v>7827.6</x:v>
      </x:c>
      <x:c r="G313" s="13" t="n">
        <x:v>1916</x:v>
      </x:c>
      <x:c r="H313" s="11" t="n">
        <x:v>2352.16</x:v>
      </x:c>
      <x:c r="I313" s="11" t="n">
        <x:v>7691.29</x:v>
      </x:c>
    </x:row>
    <x:row r="314">
      <x:c r="A314" t="n">
        <x:v>2023</x:v>
      </x:c>
      <x:c r="B314" t="str">
        <x:v>2023-05</x:v>
      </x:c>
      <x:c r="C314" t="str">
        <x:v>Coffee</x:v>
      </x:c>
      <x:c r="D314" t="str">
        <x:v>Hospitality</x:v>
      </x:c>
      <x:c r="E314" t="str">
        <x:v>VIC</x:v>
      </x:c>
      <x:c r="F314" s="11" t="n">
        <x:v>7711.4</x:v>
      </x:c>
      <x:c r="G314" s="13" t="n">
        <x:v>1863</x:v>
      </x:c>
      <x:c r="H314" s="11" t="n">
        <x:v>2404.44</x:v>
      </x:c>
      <x:c r="I314" s="11" t="n">
        <x:v>7487.35</x:v>
      </x:c>
    </x:row>
    <x:row r="315">
      <x:c r="A315" t="n">
        <x:v>2023</x:v>
      </x:c>
      <x:c r="B315" t="str">
        <x:v>2023-05</x:v>
      </x:c>
      <x:c r="C315" t="str">
        <x:v>Coffee</x:v>
      </x:c>
      <x:c r="D315" t="str">
        <x:v>Independent retail</x:v>
      </x:c>
      <x:c r="E315" t="str">
        <x:v>NSW</x:v>
      </x:c>
      <x:c r="F315" s="11" t="n">
        <x:v>21651.61</x:v>
      </x:c>
      <x:c r="G315" s="13" t="n">
        <x:v>4856</x:v>
      </x:c>
      <x:c r="H315" s="11" t="n">
        <x:v>7754.1</x:v>
      </x:c>
      <x:c r="I315" s="11" t="n">
        <x:v>21707.2</x:v>
      </x:c>
    </x:row>
    <x:row r="316">
      <x:c r="A316" t="n">
        <x:v>2023</x:v>
      </x:c>
      <x:c r="B316" t="str">
        <x:v>2023-05</x:v>
      </x:c>
      <x:c r="C316" t="str">
        <x:v>Coffee</x:v>
      </x:c>
      <x:c r="D316" t="str">
        <x:v>Independent retail</x:v>
      </x:c>
      <x:c r="E316" t="str">
        <x:v>QLD</x:v>
      </x:c>
      <x:c r="F316" s="11" t="n">
        <x:v>21015.48</x:v>
      </x:c>
      <x:c r="G316" s="13" t="n">
        <x:v>4809</x:v>
      </x:c>
      <x:c r="H316" s="11" t="n">
        <x:v>7220.2699999999995</x:v>
      </x:c>
      <x:c r="I316" s="11" t="n">
        <x:v>20887.73</x:v>
      </x:c>
    </x:row>
    <x:row r="317">
      <x:c r="A317" t="n">
        <x:v>2023</x:v>
      </x:c>
      <x:c r="B317" t="str">
        <x:v>2023-05</x:v>
      </x:c>
      <x:c r="C317" t="str">
        <x:v>Coffee</x:v>
      </x:c>
      <x:c r="D317" t="str">
        <x:v>Independent retail</x:v>
      </x:c>
      <x:c r="E317" t="str">
        <x:v>VIC</x:v>
      </x:c>
      <x:c r="F317" s="11" t="n">
        <x:v>20260.57</x:v>
      </x:c>
      <x:c r="G317" s="13" t="n">
        <x:v>4666</x:v>
      </x:c>
      <x:c r="H317" s="11" t="n">
        <x:v>6994.49</x:v>
      </x:c>
      <x:c r="I317" s="11" t="n">
        <x:v>20256.23</x:v>
      </x:c>
    </x:row>
    <x:row r="318">
      <x:c r="A318" t="n">
        <x:v>2023</x:v>
      </x:c>
      <x:c r="B318" t="str">
        <x:v>2023-05</x:v>
      </x:c>
      <x:c r="C318" t="str">
        <x:v>Coffee</x:v>
      </x:c>
      <x:c r="D318" t="str">
        <x:v>Petrol</x:v>
      </x:c>
      <x:c r="E318" t="str">
        <x:v>NSW</x:v>
      </x:c>
      <x:c r="F318" s="11" t="n">
        <x:v>22668.97</x:v>
      </x:c>
      <x:c r="G318" s="13" t="n">
        <x:v>4776</x:v>
      </x:c>
      <x:c r="H318" s="11" t="n">
        <x:v>8999.69</x:v>
      </x:c>
      <x:c r="I318" s="11" t="n">
        <x:v>23394.35</x:v>
      </x:c>
    </x:row>
    <x:row r="319">
      <x:c r="A319" t="n">
        <x:v>2023</x:v>
      </x:c>
      <x:c r="B319" t="str">
        <x:v>2023-05</x:v>
      </x:c>
      <x:c r="C319" t="str">
        <x:v>Coffee</x:v>
      </x:c>
      <x:c r="D319" t="str">
        <x:v>Petrol</x:v>
      </x:c>
      <x:c r="E319" t="str">
        <x:v>QLD</x:v>
      </x:c>
      <x:c r="F319" s="11" t="n">
        <x:v>23026.02</x:v>
      </x:c>
      <x:c r="G319" s="13" t="n">
        <x:v>4728</x:v>
      </x:c>
      <x:c r="H319" s="11" t="n">
        <x:v>9584.26</x:v>
      </x:c>
      <x:c r="I319" s="11" t="n">
        <x:v>22496.42</x:v>
      </x:c>
    </x:row>
    <x:row r="320">
      <x:c r="A320" t="n">
        <x:v>2023</x:v>
      </x:c>
      <x:c r="B320" t="str">
        <x:v>2023-05</x:v>
      </x:c>
      <x:c r="C320" t="str">
        <x:v>Coffee</x:v>
      </x:c>
      <x:c r="D320" t="str">
        <x:v>Petrol</x:v>
      </x:c>
      <x:c r="E320" t="str">
        <x:v>VIC</x:v>
      </x:c>
      <x:c r="F320" s="11" t="n">
        <x:v>22316.54</x:v>
      </x:c>
      <x:c r="G320" s="13" t="n">
        <x:v>4658</x:v>
      </x:c>
      <x:c r="H320" s="11" t="n">
        <x:v>8947.61</x:v>
      </x:c>
      <x:c r="I320" s="11" t="n">
        <x:v>21817.11</x:v>
      </x:c>
    </x:row>
    <x:row r="321">
      <x:c r="A321" t="n">
        <x:v>2023</x:v>
      </x:c>
      <x:c r="B321" t="str">
        <x:v>2023-05</x:v>
      </x:c>
      <x:c r="C321" t="str">
        <x:v>Energy</x:v>
      </x:c>
      <x:c r="D321" t="str">
        <x:v>Convenience</x:v>
      </x:c>
      <x:c r="E321" t="str">
        <x:v>NSW</x:v>
      </x:c>
      <x:c r="F321" s="11" t="n">
        <x:v>64566.65</x:v>
      </x:c>
      <x:c r="G321" s="13" t="n">
        <x:v>12391</x:v>
      </x:c>
      <x:c r="H321" s="11" t="n">
        <x:v>38347.05</x:v>
      </x:c>
      <x:c r="I321" s="11" t="n">
        <x:v>94736.2</x:v>
      </x:c>
    </x:row>
    <x:row r="322">
      <x:c r="A322" t="n">
        <x:v>2023</x:v>
      </x:c>
      <x:c r="B322" t="str">
        <x:v>2023-05</x:v>
      </x:c>
      <x:c r="C322" t="str">
        <x:v>Energy</x:v>
      </x:c>
      <x:c r="D322" t="str">
        <x:v>Convenience</x:v>
      </x:c>
      <x:c r="E322" t="str">
        <x:v>QLD</x:v>
      </x:c>
      <x:c r="F322" s="11" t="n">
        <x:v>60169.82</x:v>
      </x:c>
      <x:c r="G322" s="13" t="n">
        <x:v>11505</x:v>
      </x:c>
      <x:c r="H322" s="11" t="n">
        <x:v>36223.1</x:v>
      </x:c>
      <x:c r="I322" s="11" t="n">
        <x:v>91068.09</x:v>
      </x:c>
    </x:row>
    <x:row r="323">
      <x:c r="A323" t="n">
        <x:v>2023</x:v>
      </x:c>
      <x:c r="B323" t="str">
        <x:v>2023-05</x:v>
      </x:c>
      <x:c r="C323" t="str">
        <x:v>Energy</x:v>
      </x:c>
      <x:c r="D323" t="str">
        <x:v>Convenience</x:v>
      </x:c>
      <x:c r="E323" t="str">
        <x:v>VIC</x:v>
      </x:c>
      <x:c r="F323" s="11" t="n">
        <x:v>59431.07</x:v>
      </x:c>
      <x:c r="G323" s="13" t="n">
        <x:v>11525</x:v>
      </x:c>
      <x:c r="H323" s="11" t="n">
        <x:v>35331.99</x:v>
      </x:c>
      <x:c r="I323" s="11" t="n">
        <x:v>88336.61</x:v>
      </x:c>
    </x:row>
    <x:row r="324">
      <x:c r="A324" t="n">
        <x:v>2023</x:v>
      </x:c>
      <x:c r="B324" t="str">
        <x:v>2023-05</x:v>
      </x:c>
      <x:c r="C324" t="str">
        <x:v>Energy</x:v>
      </x:c>
      <x:c r="D324" t="str">
        <x:v>Grocery</x:v>
      </x:c>
      <x:c r="E324" t="str">
        <x:v>NSW</x:v>
      </x:c>
      <x:c r="F324" s="11" t="n">
        <x:v>239090.45</x:v>
      </x:c>
      <x:c r="G324" s="13" t="n">
        <x:v>50689</x:v>
      </x:c>
      <x:c r="H324" s="11" t="n">
        <x:v>130657.65</x:v>
      </x:c>
      <x:c r="I324" s="11" t="n">
        <x:v>235918.03</x:v>
      </x:c>
    </x:row>
    <x:row r="325">
      <x:c r="A325" t="n">
        <x:v>2023</x:v>
      </x:c>
      <x:c r="B325" t="str">
        <x:v>2023-05</x:v>
      </x:c>
      <x:c r="C325" t="str">
        <x:v>Energy</x:v>
      </x:c>
      <x:c r="D325" t="str">
        <x:v>Grocery</x:v>
      </x:c>
      <x:c r="E325" t="str">
        <x:v>QLD</x:v>
      </x:c>
      <x:c r="F325" s="11" t="n">
        <x:v>241568.65</x:v>
      </x:c>
      <x:c r="G325" s="13" t="n">
        <x:v>51917</x:v>
      </x:c>
      <x:c r="H325" s="11" t="n">
        <x:v>129085.33</x:v>
      </x:c>
      <x:c r="I325" s="11" t="n">
        <x:v>226808.91</x:v>
      </x:c>
    </x:row>
    <x:row r="326">
      <x:c r="A326" t="n">
        <x:v>2023</x:v>
      </x:c>
      <x:c r="B326" t="str">
        <x:v>2023-05</x:v>
      </x:c>
      <x:c r="C326" t="str">
        <x:v>Energy</x:v>
      </x:c>
      <x:c r="D326" t="str">
        <x:v>Grocery</x:v>
      </x:c>
      <x:c r="E326" t="str">
        <x:v>VIC</x:v>
      </x:c>
      <x:c r="F326" s="11" t="n">
        <x:v>229154.66</x:v>
      </x:c>
      <x:c r="G326" s="13" t="n">
        <x:v>49188</x:v>
      </x:c>
      <x:c r="H326" s="11" t="n">
        <x:v>123688.5</x:v>
      </x:c>
      <x:c r="I326" s="11" t="n">
        <x:v>220034.7</x:v>
      </x:c>
    </x:row>
    <x:row r="327">
      <x:c r="A327" t="n">
        <x:v>2023</x:v>
      </x:c>
      <x:c r="B327" t="str">
        <x:v>2023-05</x:v>
      </x:c>
      <x:c r="C327" t="str">
        <x:v>Energy</x:v>
      </x:c>
      <x:c r="D327" t="str">
        <x:v>Hospitality</x:v>
      </x:c>
      <x:c r="E327" t="str">
        <x:v>NSW</x:v>
      </x:c>
      <x:c r="F327" s="11" t="n">
        <x:v>30309.78</x:v>
      </x:c>
      <x:c r="G327" s="13" t="n">
        <x:v>7064</x:v>
      </x:c>
      <x:c r="H327" s="11" t="n">
        <x:v>15160.74</x:v>
      </x:c>
      <x:c r="I327" s="11" t="n">
        <x:v>29492.44</x:v>
      </x:c>
    </x:row>
    <x:row r="328">
      <x:c r="A328" t="n">
        <x:v>2023</x:v>
      </x:c>
      <x:c r="B328" t="str">
        <x:v>2023-05</x:v>
      </x:c>
      <x:c r="C328" t="str">
        <x:v>Energy</x:v>
      </x:c>
      <x:c r="D328" t="str">
        <x:v>Hospitality</x:v>
      </x:c>
      <x:c r="E328" t="str">
        <x:v>QLD</x:v>
      </x:c>
      <x:c r="F328" s="11" t="n">
        <x:v>31219.46</x:v>
      </x:c>
      <x:c r="G328" s="13" t="n">
        <x:v>7487</x:v>
      </x:c>
      <x:c r="H328" s="11" t="n">
        <x:v>15194.86</x:v>
      </x:c>
      <x:c r="I328" s="11" t="n">
        <x:v>28373.59</x:v>
      </x:c>
    </x:row>
    <x:row r="329">
      <x:c r="A329" t="n">
        <x:v>2023</x:v>
      </x:c>
      <x:c r="B329" t="str">
        <x:v>2023-05</x:v>
      </x:c>
      <x:c r="C329" t="str">
        <x:v>Energy</x:v>
      </x:c>
      <x:c r="D329" t="str">
        <x:v>Hospitality</x:v>
      </x:c>
      <x:c r="E329" t="str">
        <x:v>VIC</x:v>
      </x:c>
      <x:c r="F329" s="11" t="n">
        <x:v>29352.7</x:v>
      </x:c>
      <x:c r="G329" s="13" t="n">
        <x:v>6887</x:v>
      </x:c>
      <x:c r="H329" s="11" t="n">
        <x:v>14527.26</x:v>
      </x:c>
      <x:c r="I329" s="11" t="n">
        <x:v>27511.53</x:v>
      </x:c>
    </x:row>
    <x:row r="330">
      <x:c r="A330" t="n">
        <x:v>2023</x:v>
      </x:c>
      <x:c r="B330" t="str">
        <x:v>2023-05</x:v>
      </x:c>
      <x:c r="C330" t="str">
        <x:v>Energy</x:v>
      </x:c>
      <x:c r="D330" t="str">
        <x:v>Independent retail</x:v>
      </x:c>
      <x:c r="E330" t="str">
        <x:v>NSW</x:v>
      </x:c>
      <x:c r="F330" s="11" t="n">
        <x:v>85495.66</x:v>
      </x:c>
      <x:c r="G330" s="13" t="n">
        <x:v>18101</x:v>
      </x:c>
      <x:c r="H330" s="11" t="n">
        <x:v>46665.06</x:v>
      </x:c>
      <x:c r="I330" s="11" t="n">
        <x:v>80171.09</x:v>
      </x:c>
    </x:row>
    <x:row r="331">
      <x:c r="A331" t="n">
        <x:v>2023</x:v>
      </x:c>
      <x:c r="B331" t="str">
        <x:v>2023-05</x:v>
      </x:c>
      <x:c r="C331" t="str">
        <x:v>Energy</x:v>
      </x:c>
      <x:c r="D331" t="str">
        <x:v>Independent retail</x:v>
      </x:c>
      <x:c r="E331" t="str">
        <x:v>QLD</x:v>
      </x:c>
      <x:c r="F331" s="11" t="n">
        <x:v>80423.33</x:v>
      </x:c>
      <x:c r="G331" s="13" t="n">
        <x:v>16893</x:v>
      </x:c>
      <x:c r="H331" s="11" t="n">
        <x:v>44982.61</x:v>
      </x:c>
      <x:c r="I331" s="11" t="n">
        <x:v>77076.85</x:v>
      </x:c>
    </x:row>
    <x:row r="332">
      <x:c r="A332" t="n">
        <x:v>2023</x:v>
      </x:c>
      <x:c r="B332" t="str">
        <x:v>2023-05</x:v>
      </x:c>
      <x:c r="C332" t="str">
        <x:v>Energy</x:v>
      </x:c>
      <x:c r="D332" t="str">
        <x:v>Independent retail</x:v>
      </x:c>
      <x:c r="E332" t="str">
        <x:v>VIC</x:v>
      </x:c>
      <x:c r="F332" s="11" t="n">
        <x:v>76871.44</x:v>
      </x:c>
      <x:c r="G332" s="13" t="n">
        <x:v>16496</x:v>
      </x:c>
      <x:c r="H332" s="11" t="n">
        <x:v>42479.96</x:v>
      </x:c>
      <x:c r="I332" s="11" t="n">
        <x:v>74769.41</x:v>
      </x:c>
    </x:row>
    <x:row r="333">
      <x:c r="A333" t="n">
        <x:v>2023</x:v>
      </x:c>
      <x:c r="B333" t="str">
        <x:v>2023-05</x:v>
      </x:c>
      <x:c r="C333" t="str">
        <x:v>Energy</x:v>
      </x:c>
      <x:c r="D333" t="str">
        <x:v>Petrol</x:v>
      </x:c>
      <x:c r="E333" t="str">
        <x:v>NSW</x:v>
      </x:c>
      <x:c r="F333" s="11" t="n">
        <x:v>91918.39</x:v>
      </x:c>
      <x:c r="G333" s="13" t="n">
        <x:v>17577</x:v>
      </x:c>
      <x:c r="H333" s="11" t="n">
        <x:v>54628.79</x:v>
      </x:c>
      <x:c r="I333" s="11" t="n">
        <x:v>86375.56</x:v>
      </x:c>
    </x:row>
    <x:row r="334">
      <x:c r="A334" t="n">
        <x:v>2023</x:v>
      </x:c>
      <x:c r="B334" t="str">
        <x:v>2023-05</x:v>
      </x:c>
      <x:c r="C334" t="str">
        <x:v>Energy</x:v>
      </x:c>
      <x:c r="D334" t="str">
        <x:v>Petrol</x:v>
      </x:c>
      <x:c r="E334" t="str">
        <x:v>QLD</x:v>
      </x:c>
      <x:c r="F334" s="11" t="n">
        <x:v>86501.03</x:v>
      </x:c>
      <x:c r="G334" s="13" t="n">
        <x:v>16416</x:v>
      </x:c>
      <x:c r="H334" s="11" t="n">
        <x:v>51587.67</x:v>
      </x:c>
      <x:c r="I334" s="11" t="n">
        <x:v>83040.51</x:v>
      </x:c>
    </x:row>
    <x:row r="335">
      <x:c r="A335" t="n">
        <x:v>2023</x:v>
      </x:c>
      <x:c r="B335" t="str">
        <x:v>2023-05</x:v>
      </x:c>
      <x:c r="C335" t="str">
        <x:v>Energy</x:v>
      </x:c>
      <x:c r="D335" t="str">
        <x:v>Petrol</x:v>
      </x:c>
      <x:c r="E335" t="str">
        <x:v>VIC</x:v>
      </x:c>
      <x:c r="F335" s="11" t="n">
        <x:v>83511.27</x:v>
      </x:c>
      <x:c r="G335" s="13" t="n">
        <x:v>16321</x:v>
      </x:c>
      <x:c r="H335" s="11" t="n">
        <x:v>49715.79</x:v>
      </x:c>
      <x:c r="I335" s="11" t="n">
        <x:v>80554.35</x:v>
      </x:c>
    </x:row>
    <x:row r="336">
      <x:c r="A336" t="n">
        <x:v>2023</x:v>
      </x:c>
      <x:c r="B336" t="str">
        <x:v>2023-05</x:v>
      </x:c>
      <x:c r="C336" t="str">
        <x:v>Sparkling</x:v>
      </x:c>
      <x:c r="D336" t="str">
        <x:v>Convenience</x:v>
      </x:c>
      <x:c r="E336" t="str">
        <x:v>NSW</x:v>
      </x:c>
      <x:c r="F336" s="11" t="n">
        <x:v>117618.38</x:v>
      </x:c>
      <x:c r="G336" s="13" t="n">
        <x:v>29714</x:v>
      </x:c>
      <x:c r="H336" s="11" t="n">
        <x:v>64775.98</x:v>
      </x:c>
      <x:c r="I336" s="11" t="n">
        <x:v>115220.17</x:v>
      </x:c>
    </x:row>
    <x:row r="337">
      <x:c r="A337" t="n">
        <x:v>2023</x:v>
      </x:c>
      <x:c r="B337" t="str">
        <x:v>2023-05</x:v>
      </x:c>
      <x:c r="C337" t="str">
        <x:v>Sparkling</x:v>
      </x:c>
      <x:c r="D337" t="str">
        <x:v>Convenience</x:v>
      </x:c>
      <x:c r="E337" t="str">
        <x:v>QLD</x:v>
      </x:c>
      <x:c r="F337" s="11" t="n">
        <x:v>115827.73</x:v>
      </x:c>
      <x:c r="G337" s="13" t="n">
        <x:v>28574</x:v>
      </x:c>
      <x:c r="H337" s="11" t="n">
        <x:v>64861.93</x:v>
      </x:c>
      <x:c r="I337" s="11" t="n">
        <x:v>110741.27</x:v>
      </x:c>
    </x:row>
    <x:row r="338">
      <x:c r="A338" t="n">
        <x:v>2023</x:v>
      </x:c>
      <x:c r="B338" t="str">
        <x:v>2023-05</x:v>
      </x:c>
      <x:c r="C338" t="str">
        <x:v>Sparkling</x:v>
      </x:c>
      <x:c r="D338" t="str">
        <x:v>Convenience</x:v>
      </x:c>
      <x:c r="E338" t="str">
        <x:v>VIC</x:v>
      </x:c>
      <x:c r="F338" s="11" t="n">
        <x:v>108154.1</x:v>
      </x:c>
      <x:c r="G338" s="13" t="n">
        <x:v>27214</x:v>
      </x:c>
      <x:c r="H338" s="11" t="n">
        <x:v>60185.26</x:v>
      </x:c>
      <x:c r="I338" s="11" t="n">
        <x:v>107432.64</x:v>
      </x:c>
    </x:row>
    <x:row r="339">
      <x:c r="A339" t="n">
        <x:v>2023</x:v>
      </x:c>
      <x:c r="B339" t="str">
        <x:v>2023-05</x:v>
      </x:c>
      <x:c r="C339" t="str">
        <x:v>Sparkling</x:v>
      </x:c>
      <x:c r="D339" t="str">
        <x:v>Grocery</x:v>
      </x:c>
      <x:c r="E339" t="str">
        <x:v>NSW</x:v>
      </x:c>
      <x:c r="F339" s="11" t="n">
        <x:v>304486.33</x:v>
      </x:c>
      <x:c r="G339" s="13" t="n">
        <x:v>88921</x:v>
      </x:c>
      <x:c r="H339" s="11" t="n">
        <x:v>144524.93</x:v>
      </x:c>
      <x:c r="I339" s="11" t="n">
        <x:v>286494.74</x:v>
      </x:c>
    </x:row>
    <x:row r="340">
      <x:c r="A340" t="n">
        <x:v>2023</x:v>
      </x:c>
      <x:c r="B340" t="str">
        <x:v>2023-05</x:v>
      </x:c>
      <x:c r="C340" t="str">
        <x:v>Sparkling</x:v>
      </x:c>
      <x:c r="D340" t="str">
        <x:v>Grocery</x:v>
      </x:c>
      <x:c r="E340" t="str">
        <x:v>QLD</x:v>
      </x:c>
      <x:c r="F340" s="11" t="n">
        <x:v>287730.32</x:v>
      </x:c>
      <x:c r="G340" s="13" t="n">
        <x:v>84120</x:v>
      </x:c>
      <x:c r="H340" s="11" t="n">
        <x:v>136636.94</x:v>
      </x:c>
      <x:c r="I340" s="11" t="n">
        <x:v>275485.86</x:v>
      </x:c>
    </x:row>
    <x:row r="341">
      <x:c r="A341" t="n">
        <x:v>2023</x:v>
      </x:c>
      <x:c r="B341" t="str">
        <x:v>2023-05</x:v>
      </x:c>
      <x:c r="C341" t="str">
        <x:v>Sparkling</x:v>
      </x:c>
      <x:c r="D341" t="str">
        <x:v>Grocery</x:v>
      </x:c>
      <x:c r="E341" t="str">
        <x:v>VIC</x:v>
      </x:c>
      <x:c r="F341" s="11" t="n">
        <x:v>274862.67</x:v>
      </x:c>
      <x:c r="G341" s="13" t="n">
        <x:v>80824</x:v>
      </x:c>
      <x:c r="H341" s="11" t="n">
        <x:v>130378.43000000001</x:v>
      </x:c>
      <x:c r="I341" s="11" t="n">
        <x:v>267209</x:v>
      </x:c>
    </x:row>
    <x:row r="342">
      <x:c r="A342" t="n">
        <x:v>2023</x:v>
      </x:c>
      <x:c r="B342" t="str">
        <x:v>2023-05</x:v>
      </x:c>
      <x:c r="C342" t="str">
        <x:v>Sparkling</x:v>
      </x:c>
      <x:c r="D342" t="str">
        <x:v>Hospitality</x:v>
      </x:c>
      <x:c r="E342" t="str">
        <x:v>NSW</x:v>
      </x:c>
      <x:c r="F342" s="11" t="n">
        <x:v>38592.27</x:v>
      </x:c>
      <x:c r="G342" s="13" t="n">
        <x:v>12238</x:v>
      </x:c>
      <x:c r="H342" s="11" t="n">
        <x:v>16508.71</x:v>
      </x:c>
      <x:c r="I342" s="11" t="n">
        <x:v>35816.13</x:v>
      </x:c>
    </x:row>
    <x:row r="343">
      <x:c r="A343" t="n">
        <x:v>2023</x:v>
      </x:c>
      <x:c r="B343" t="str">
        <x:v>2023-05</x:v>
      </x:c>
      <x:c r="C343" t="str">
        <x:v>Sparkling</x:v>
      </x:c>
      <x:c r="D343" t="str">
        <x:v>Hospitality</x:v>
      </x:c>
      <x:c r="E343" t="str">
        <x:v>QLD</x:v>
      </x:c>
      <x:c r="F343" s="11" t="n">
        <x:v>35214.83</x:v>
      </x:c>
      <x:c r="G343" s="13" t="n">
        <x:v>11183</x:v>
      </x:c>
      <x:c r="H343" s="11" t="n">
        <x:v>15312.51</x:v>
      </x:c>
      <x:c r="I343" s="11" t="n">
        <x:v>34444.3</x:v>
      </x:c>
    </x:row>
    <x:row r="344">
      <x:c r="A344" t="n">
        <x:v>2023</x:v>
      </x:c>
      <x:c r="B344" t="str">
        <x:v>2023-05</x:v>
      </x:c>
      <x:c r="C344" t="str">
        <x:v>Sparkling</x:v>
      </x:c>
      <x:c r="D344" t="str">
        <x:v>Hospitality</x:v>
      </x:c>
      <x:c r="E344" t="str">
        <x:v>VIC</x:v>
      </x:c>
      <x:c r="F344" s="11" t="n">
        <x:v>34598.74</x:v>
      </x:c>
      <x:c r="G344" s="13" t="n">
        <x:v>10979</x:v>
      </x:c>
      <x:c r="H344" s="11" t="n">
        <x:v>14859.32</x:v>
      </x:c>
      <x:c r="I344" s="11" t="n">
        <x:v>33416.99</x:v>
      </x:c>
    </x:row>
    <x:row r="345">
      <x:c r="A345" t="n">
        <x:v>2023</x:v>
      </x:c>
      <x:c r="B345" t="str">
        <x:v>2023-05</x:v>
      </x:c>
      <x:c r="C345" t="str">
        <x:v>Sparkling</x:v>
      </x:c>
      <x:c r="D345" t="str">
        <x:v>Independent retail</x:v>
      </x:c>
      <x:c r="E345" t="str">
        <x:v>NSW</x:v>
      </x:c>
      <x:c r="F345" s="11" t="n">
        <x:v>100445.86</x:v>
      </x:c>
      <x:c r="G345" s="13" t="n">
        <x:v>27988</x:v>
      </x:c>
      <x:c r="H345" s="11" t="n">
        <x:v>50278.58</x:v>
      </x:c>
      <x:c r="I345" s="11" t="n">
        <x:v>97383.94</x:v>
      </x:c>
    </x:row>
    <x:row r="346">
      <x:c r="A346" t="n">
        <x:v>2023</x:v>
      </x:c>
      <x:c r="B346" t="str">
        <x:v>2023-05</x:v>
      </x:c>
      <x:c r="C346" t="str">
        <x:v>Sparkling</x:v>
      </x:c>
      <x:c r="D346" t="str">
        <x:v>Independent retail</x:v>
      </x:c>
      <x:c r="E346" t="str">
        <x:v>QLD</x:v>
      </x:c>
      <x:c r="F346" s="11" t="n">
        <x:v>99341.02</x:v>
      </x:c>
      <x:c r="G346" s="13" t="n">
        <x:v>27348</x:v>
      </x:c>
      <x:c r="H346" s="11" t="n">
        <x:v>50166.46</x:v>
      </x:c>
      <x:c r="I346" s="11" t="n">
        <x:v>93635.8</x:v>
      </x:c>
    </x:row>
    <x:row r="347">
      <x:c r="A347" t="n">
        <x:v>2023</x:v>
      </x:c>
      <x:c r="B347" t="str">
        <x:v>2023-05</x:v>
      </x:c>
      <x:c r="C347" t="str">
        <x:v>Sparkling</x:v>
      </x:c>
      <x:c r="D347" t="str">
        <x:v>Independent retail</x:v>
      </x:c>
      <x:c r="E347" t="str">
        <x:v>VIC</x:v>
      </x:c>
      <x:c r="F347" s="11" t="n">
        <x:v>93363.57</x:v>
      </x:c>
      <x:c r="G347" s="13" t="n">
        <x:v>26089</x:v>
      </x:c>
      <x:c r="H347" s="11" t="n">
        <x:v>47061.91</x:v>
      </x:c>
      <x:c r="I347" s="11" t="n">
        <x:v>90837.2</x:v>
      </x:c>
    </x:row>
    <x:row r="348">
      <x:c r="A348" t="n">
        <x:v>2023</x:v>
      </x:c>
      <x:c r="B348" t="str">
        <x:v>2023-05</x:v>
      </x:c>
      <x:c r="C348" t="str">
        <x:v>Sparkling</x:v>
      </x:c>
      <x:c r="D348" t="str">
        <x:v>Petrol</x:v>
      </x:c>
      <x:c r="E348" t="str">
        <x:v>NSW</x:v>
      </x:c>
      <x:c r="F348" s="11" t="n">
        <x:v>110909.08</x:v>
      </x:c>
      <x:c r="G348" s="13" t="n">
        <x:v>28222</x:v>
      </x:c>
      <x:c r="H348" s="11" t="n">
        <x:v>60415.56</x:v>
      </x:c>
      <x:c r="I348" s="11" t="n">
        <x:v>105049.62</x:v>
      </x:c>
    </x:row>
    <x:row r="349">
      <x:c r="A349" t="n">
        <x:v>2023</x:v>
      </x:c>
      <x:c r="B349" t="str">
        <x:v>2023-05</x:v>
      </x:c>
      <x:c r="C349" t="str">
        <x:v>Sparkling</x:v>
      </x:c>
      <x:c r="D349" t="str">
        <x:v>Petrol</x:v>
      </x:c>
      <x:c r="E349" t="str">
        <x:v>QLD</x:v>
      </x:c>
      <x:c r="F349" s="11" t="n">
        <x:v>106338.72</x:v>
      </x:c>
      <x:c r="G349" s="13" t="n">
        <x:v>27613</x:v>
      </x:c>
      <x:c r="H349" s="11" t="n">
        <x:v>56455.1</x:v>
      </x:c>
      <x:c r="I349" s="11" t="n">
        <x:v>101027.65</x:v>
      </x:c>
    </x:row>
    <x:row r="350">
      <x:c r="A350" t="n">
        <x:v>2023</x:v>
      </x:c>
      <x:c r="B350" t="str">
        <x:v>2023-05</x:v>
      </x:c>
      <x:c r="C350" t="str">
        <x:v>Sparkling</x:v>
      </x:c>
      <x:c r="D350" t="str">
        <x:v>Petrol</x:v>
      </x:c>
      <x:c r="E350" t="str">
        <x:v>VIC</x:v>
      </x:c>
      <x:c r="F350" s="11" t="n">
        <x:v>101051.19</x:v>
      </x:c>
      <x:c r="G350" s="13" t="n">
        <x:v>25832</x:v>
      </x:c>
      <x:c r="H350" s="11" t="n">
        <x:v>54332.07</x:v>
      </x:c>
      <x:c r="I350" s="11" t="n">
        <x:v>97985.56</x:v>
      </x:c>
    </x:row>
    <x:row r="351">
      <x:c r="A351" t="n">
        <x:v>2023</x:v>
      </x:c>
      <x:c r="B351" t="str">
        <x:v>2023-05</x:v>
      </x:c>
      <x:c r="C351" t="str">
        <x:v>Sports</x:v>
      </x:c>
      <x:c r="D351" t="str">
        <x:v>Convenience</x:v>
      </x:c>
      <x:c r="E351" t="str">
        <x:v>NSW</x:v>
      </x:c>
      <x:c r="F351" s="11" t="n">
        <x:v>66610.32</x:v>
      </x:c>
      <x:c r="G351" s="13" t="n">
        <x:v>13947</x:v>
      </x:c>
      <x:c r="H351" s="11" t="n">
        <x:v>35172</x:v>
      </x:c>
      <x:c r="I351" s="11" t="n">
        <x:v>63611.340000000004</x:v>
      </x:c>
    </x:row>
    <x:row r="352">
      <x:c r="A352" t="n">
        <x:v>2023</x:v>
      </x:c>
      <x:c r="B352" t="str">
        <x:v>2023-05</x:v>
      </x:c>
      <x:c r="C352" t="str">
        <x:v>Sports</x:v>
      </x:c>
      <x:c r="D352" t="str">
        <x:v>Convenience</x:v>
      </x:c>
      <x:c r="E352" t="str">
        <x:v>QLD</x:v>
      </x:c>
      <x:c r="F352" s="11" t="n">
        <x:v>62852.71</x:v>
      </x:c>
      <x:c r="G352" s="13" t="n">
        <x:v>12439</x:v>
      </x:c>
      <x:c r="H352" s="11" t="n">
        <x:v>34574.01</x:v>
      </x:c>
      <x:c r="I352" s="11" t="n">
        <x:v>61192.23</x:v>
      </x:c>
    </x:row>
    <x:row r="353">
      <x:c r="A353" t="n">
        <x:v>2023</x:v>
      </x:c>
      <x:c r="B353" t="str">
        <x:v>2023-05</x:v>
      </x:c>
      <x:c r="C353" t="str">
        <x:v>Sports</x:v>
      </x:c>
      <x:c r="D353" t="str">
        <x:v>Convenience</x:v>
      </x:c>
      <x:c r="E353" t="str">
        <x:v>VIC</x:v>
      </x:c>
      <x:c r="F353" s="11" t="n">
        <x:v>60301.04</x:v>
      </x:c>
      <x:c r="G353" s="13" t="n">
        <x:v>12255</x:v>
      </x:c>
      <x:c r="H353" s="11" t="n">
        <x:v>32607.92</x:v>
      </x:c>
      <x:c r="I353" s="11" t="n">
        <x:v>59330.64</x:v>
      </x:c>
    </x:row>
    <x:row r="354">
      <x:c r="A354" t="n">
        <x:v>2023</x:v>
      </x:c>
      <x:c r="B354" t="str">
        <x:v>2023-05</x:v>
      </x:c>
      <x:c r="C354" t="str">
        <x:v>Sports</x:v>
      </x:c>
      <x:c r="D354" t="str">
        <x:v>Grocery</x:v>
      </x:c>
      <x:c r="E354" t="str">
        <x:v>NSW</x:v>
      </x:c>
      <x:c r="F354" s="11" t="n">
        <x:v>164096.53</x:v>
      </x:c>
      <x:c r="G354" s="13" t="n">
        <x:v>38726</x:v>
      </x:c>
      <x:c r="H354" s="11" t="n">
        <x:v>74924.91</x:v>
      </x:c>
      <x:c r="I354" s="11" t="n">
        <x:v>157885.77</x:v>
      </x:c>
    </x:row>
    <x:row r="355">
      <x:c r="A355" t="n">
        <x:v>2023</x:v>
      </x:c>
      <x:c r="B355" t="str">
        <x:v>2023-05</x:v>
      </x:c>
      <x:c r="C355" t="str">
        <x:v>Sports</x:v>
      </x:c>
      <x:c r="D355" t="str">
        <x:v>Grocery</x:v>
      </x:c>
      <x:c r="E355" t="str">
        <x:v>QLD</x:v>
      </x:c>
      <x:c r="F355" s="11" t="n">
        <x:v>152691.22</x:v>
      </x:c>
      <x:c r="G355" s="13" t="n">
        <x:v>37292</x:v>
      </x:c>
      <x:c r="H355" s="11" t="n">
        <x:v>68084.62</x:v>
      </x:c>
      <x:c r="I355" s="11" t="n">
        <x:v>151827.61</x:v>
      </x:c>
    </x:row>
    <x:row r="356">
      <x:c r="A356" t="n">
        <x:v>2023</x:v>
      </x:c>
      <x:c r="B356" t="str">
        <x:v>2023-05</x:v>
      </x:c>
      <x:c r="C356" t="str">
        <x:v>Sports</x:v>
      </x:c>
      <x:c r="D356" t="str">
        <x:v>Grocery</x:v>
      </x:c>
      <x:c r="E356" t="str">
        <x:v>VIC</x:v>
      </x:c>
      <x:c r="F356" s="11" t="n">
        <x:v>152127.51</x:v>
      </x:c>
      <x:c r="G356" s="13" t="n">
        <x:v>36491</x:v>
      </x:c>
      <x:c r="H356" s="11" t="n">
        <x:v>68206.22</x:v>
      </x:c>
      <x:c r="I356" s="11" t="n">
        <x:v>147263.57</x:v>
      </x:c>
    </x:row>
    <x:row r="357">
      <x:c r="A357" t="n">
        <x:v>2023</x:v>
      </x:c>
      <x:c r="B357" t="str">
        <x:v>2023-05</x:v>
      </x:c>
      <x:c r="C357" t="str">
        <x:v>Sports</x:v>
      </x:c>
      <x:c r="D357" t="str">
        <x:v>Hospitality</x:v>
      </x:c>
      <x:c r="E357" t="str">
        <x:v>NSW</x:v>
      </x:c>
      <x:c r="F357" s="11" t="n">
        <x:v>21123.16</x:v>
      </x:c>
      <x:c r="G357" s="13" t="n">
        <x:v>5571</x:v>
      </x:c>
      <x:c r="H357" s="11" t="n">
        <x:v>8429.32</x:v>
      </x:c>
      <x:c r="I357" s="11" t="n">
        <x:v>19773.36</x:v>
      </x:c>
    </x:row>
    <x:row r="358">
      <x:c r="A358" t="n">
        <x:v>2023</x:v>
      </x:c>
      <x:c r="B358" t="str">
        <x:v>2023-05</x:v>
      </x:c>
      <x:c r="C358" t="str">
        <x:v>Sports</x:v>
      </x:c>
      <x:c r="D358" t="str">
        <x:v>Hospitality</x:v>
      </x:c>
      <x:c r="E358" t="str">
        <x:v>QLD</x:v>
      </x:c>
      <x:c r="F358" s="11" t="n">
        <x:v>20432.45</x:v>
      </x:c>
      <x:c r="G358" s="13" t="n">
        <x:v>5340</x:v>
      </x:c>
      <x:c r="H358" s="11" t="n">
        <x:v>8296.61</x:v>
      </x:c>
      <x:c r="I358" s="11" t="n">
        <x:v>19013.75</x:v>
      </x:c>
    </x:row>
    <x:row r="359">
      <x:c r="A359" t="n">
        <x:v>2023</x:v>
      </x:c>
      <x:c r="B359" t="str">
        <x:v>2023-05</x:v>
      </x:c>
      <x:c r="C359" t="str">
        <x:v>Sports</x:v>
      </x:c>
      <x:c r="D359" t="str">
        <x:v>Hospitality</x:v>
      </x:c>
      <x:c r="E359" t="str">
        <x:v>VIC</x:v>
      </x:c>
      <x:c r="F359" s="11" t="n">
        <x:v>19099.8</x:v>
      </x:c>
      <x:c r="G359" s="13" t="n">
        <x:v>4996</x:v>
      </x:c>
      <x:c r="H359" s="11" t="n">
        <x:v>7644.04</x:v>
      </x:c>
      <x:c r="I359" s="11" t="n">
        <x:v>18432.3</x:v>
      </x:c>
    </x:row>
    <x:row r="360">
      <x:c r="A360" t="n">
        <x:v>2023</x:v>
      </x:c>
      <x:c r="B360" t="str">
        <x:v>2023-05</x:v>
      </x:c>
      <x:c r="C360" t="str">
        <x:v>Sports</x:v>
      </x:c>
      <x:c r="D360" t="str">
        <x:v>Independent retail</x:v>
      </x:c>
      <x:c r="E360" t="str">
        <x:v>NSW</x:v>
      </x:c>
      <x:c r="F360" s="11" t="n">
        <x:v>54931.9</x:v>
      </x:c>
      <x:c r="G360" s="13" t="n">
        <x:v>12432</x:v>
      </x:c>
      <x:c r="H360" s="11" t="n">
        <x:v>26621.92</x:v>
      </x:c>
      <x:c r="I360" s="11" t="n">
        <x:v>53698.55</x:v>
      </x:c>
    </x:row>
    <x:row r="361">
      <x:c r="A361" t="n">
        <x:v>2023</x:v>
      </x:c>
      <x:c r="B361" t="str">
        <x:v>2023-05</x:v>
      </x:c>
      <x:c r="C361" t="str">
        <x:v>Sports</x:v>
      </x:c>
      <x:c r="D361" t="str">
        <x:v>Independent retail</x:v>
      </x:c>
      <x:c r="E361" t="str">
        <x:v>QLD</x:v>
      </x:c>
      <x:c r="F361" s="11" t="n">
        <x:v>53558.03</x:v>
      </x:c>
      <x:c r="G361" s="13" t="n">
        <x:v>11759</x:v>
      </x:c>
      <x:c r="H361" s="11" t="n">
        <x:v>26408.36</x:v>
      </x:c>
      <x:c r="I361" s="11" t="n">
        <x:v>51623.21</x:v>
      </x:c>
    </x:row>
    <x:row r="362">
      <x:c r="A362" t="n">
        <x:v>2023</x:v>
      </x:c>
      <x:c r="B362" t="str">
        <x:v>2023-05</x:v>
      </x:c>
      <x:c r="C362" t="str">
        <x:v>Sports</x:v>
      </x:c>
      <x:c r="D362" t="str">
        <x:v>Independent retail</x:v>
      </x:c>
      <x:c r="E362" t="str">
        <x:v>VIC</x:v>
      </x:c>
      <x:c r="F362" s="11" t="n">
        <x:v>49369.89</x:v>
      </x:c>
      <x:c r="G362" s="13" t="n">
        <x:v>11136</x:v>
      </x:c>
      <x:c r="H362" s="11" t="n">
        <x:v>24311.74</x:v>
      </x:c>
      <x:c r="I362" s="11" t="n">
        <x:v>50068.17</x:v>
      </x:c>
    </x:row>
    <x:row r="363">
      <x:c r="A363" t="n">
        <x:v>2023</x:v>
      </x:c>
      <x:c r="B363" t="str">
        <x:v>2023-05</x:v>
      </x:c>
      <x:c r="C363" t="str">
        <x:v>Sports</x:v>
      </x:c>
      <x:c r="D363" t="str">
        <x:v>Petrol</x:v>
      </x:c>
      <x:c r="E363" t="str">
        <x:v>NSW</x:v>
      </x:c>
      <x:c r="F363" s="11" t="n">
        <x:v>59243.95</x:v>
      </x:c>
      <x:c r="G363" s="13" t="n">
        <x:v>12023</x:v>
      </x:c>
      <x:c r="H363" s="11" t="n">
        <x:v>31598.35</x:v>
      </x:c>
      <x:c r="I363" s="11" t="n">
        <x:v>58162.96</x:v>
      </x:c>
    </x:row>
    <x:row r="364">
      <x:c r="A364" t="n">
        <x:v>2023</x:v>
      </x:c>
      <x:c r="B364" t="str">
        <x:v>2023-05</x:v>
      </x:c>
      <x:c r="C364" t="str">
        <x:v>Sports</x:v>
      </x:c>
      <x:c r="D364" t="str">
        <x:v>Petrol</x:v>
      </x:c>
      <x:c r="E364" t="str">
        <x:v>QLD</x:v>
      </x:c>
      <x:c r="F364" s="11" t="n">
        <x:v>57377.24</x:v>
      </x:c>
      <x:c r="G364" s="13" t="n">
        <x:v>12133</x:v>
      </x:c>
      <x:c r="H364" s="11" t="n">
        <x:v>29436.29</x:v>
      </x:c>
      <x:c r="I364" s="11" t="n">
        <x:v>55933.83</x:v>
      </x:c>
    </x:row>
    <x:row r="365">
      <x:c r="A365" t="n">
        <x:v>2023</x:v>
      </x:c>
      <x:c r="B365" t="str">
        <x:v>2023-05</x:v>
      </x:c>
      <x:c r="C365" t="str">
        <x:v>Sports</x:v>
      </x:c>
      <x:c r="D365" t="str">
        <x:v>Petrol</x:v>
      </x:c>
      <x:c r="E365" t="str">
        <x:v>VIC</x:v>
      </x:c>
      <x:c r="F365" s="11" t="n">
        <x:v>56429.64</x:v>
      </x:c>
      <x:c r="G365" s="13" t="n">
        <x:v>11686</x:v>
      </x:c>
      <x:c r="H365" s="11" t="n">
        <x:v>29575.11</x:v>
      </x:c>
      <x:c r="I365" s="11" t="n">
        <x:v>54267.46</x:v>
      </x:c>
    </x:row>
    <x:row r="366">
      <x:c r="A366" t="n">
        <x:v>2023</x:v>
      </x:c>
      <x:c r="B366" t="str">
        <x:v>2023-05</x:v>
      </x:c>
      <x:c r="C366" t="str">
        <x:v>Water</x:v>
      </x:c>
      <x:c r="D366" t="str">
        <x:v>Convenience</x:v>
      </x:c>
      <x:c r="E366" t="str">
        <x:v>NSW</x:v>
      </x:c>
      <x:c r="F366" s="11" t="n">
        <x:v>78807.56</x:v>
      </x:c>
      <x:c r="G366" s="13" t="n">
        <x:v>24928</x:v>
      </x:c>
      <x:c r="H366" s="11" t="n">
        <x:v>39249.72</x:v>
      </x:c>
      <x:c r="I366" s="11" t="n">
        <x:v>75766.27</x:v>
      </x:c>
    </x:row>
    <x:row r="367">
      <x:c r="A367" t="n">
        <x:v>2023</x:v>
      </x:c>
      <x:c r="B367" t="str">
        <x:v>2023-05</x:v>
      </x:c>
      <x:c r="C367" t="str">
        <x:v>Water</x:v>
      </x:c>
      <x:c r="D367" t="str">
        <x:v>Convenience</x:v>
      </x:c>
      <x:c r="E367" t="str">
        <x:v>QLD</x:v>
      </x:c>
      <x:c r="F367" s="11" t="n">
        <x:v>74292.36</x:v>
      </x:c>
      <x:c r="G367" s="13" t="n">
        <x:v>24595</x:v>
      </x:c>
      <x:c r="H367" s="11" t="n">
        <x:v>35680.44</x:v>
      </x:c>
      <x:c r="I367" s="11" t="n">
        <x:v>72837.11</x:v>
      </x:c>
    </x:row>
    <x:row r="368">
      <x:c r="A368" t="n">
        <x:v>2023</x:v>
      </x:c>
      <x:c r="B368" t="str">
        <x:v>2023-05</x:v>
      </x:c>
      <x:c r="C368" t="str">
        <x:v>Water</x:v>
      </x:c>
      <x:c r="D368" t="str">
        <x:v>Convenience</x:v>
      </x:c>
      <x:c r="E368" t="str">
        <x:v>VIC</x:v>
      </x:c>
      <x:c r="F368" s="11" t="n">
        <x:v>72978.94</x:v>
      </x:c>
      <x:c r="G368" s="13" t="n">
        <x:v>24037</x:v>
      </x:c>
      <x:c r="H368" s="11" t="n">
        <x:v>35497.1</x:v>
      </x:c>
      <x:c r="I368" s="11" t="n">
        <x:v>70656.99</x:v>
      </x:c>
    </x:row>
    <x:row r="369">
      <x:c r="A369" t="n">
        <x:v>2023</x:v>
      </x:c>
      <x:c r="B369" t="str">
        <x:v>2023-05</x:v>
      </x:c>
      <x:c r="C369" t="str">
        <x:v>Water</x:v>
      </x:c>
      <x:c r="D369" t="str">
        <x:v>Grocery</x:v>
      </x:c>
      <x:c r="E369" t="str">
        <x:v>NSW</x:v>
      </x:c>
      <x:c r="F369" s="11" t="n">
        <x:v>190565.56</x:v>
      </x:c>
      <x:c r="G369" s="13" t="n">
        <x:v>71170</x:v>
      </x:c>
      <x:c r="H369" s="11" t="n">
        <x:v>79386.4</x:v>
      </x:c>
      <x:c r="I369" s="11" t="n">
        <x:v>189071.83</x:v>
      </x:c>
    </x:row>
    <x:row r="370">
      <x:c r="A370" t="n">
        <x:v>2023</x:v>
      </x:c>
      <x:c r="B370" t="str">
        <x:v>2023-05</x:v>
      </x:c>
      <x:c r="C370" t="str">
        <x:v>Water</x:v>
      </x:c>
      <x:c r="D370" t="str">
        <x:v>Grocery</x:v>
      </x:c>
      <x:c r="E370" t="str">
        <x:v>QLD</x:v>
      </x:c>
      <x:c r="F370" s="11" t="n">
        <x:v>181937.25</x:v>
      </x:c>
      <x:c r="G370" s="13" t="n">
        <x:v>66787</x:v>
      </x:c>
      <x:c r="H370" s="11" t="n">
        <x:v>77776.57</x:v>
      </x:c>
      <x:c r="I370" s="11" t="n">
        <x:v>181808.55</x:v>
      </x:c>
    </x:row>
    <x:row r="371">
      <x:c r="A371" t="n">
        <x:v>2023</x:v>
      </x:c>
      <x:c r="B371" t="str">
        <x:v>2023-05</x:v>
      </x:c>
      <x:c r="C371" t="str">
        <x:v>Water</x:v>
      </x:c>
      <x:c r="D371" t="str">
        <x:v>Grocery</x:v>
      </x:c>
      <x:c r="E371" t="str">
        <x:v>VIC</x:v>
      </x:c>
      <x:c r="F371" s="11" t="n">
        <x:v>179252.4</x:v>
      </x:c>
      <x:c r="G371" s="13" t="n">
        <x:v>66019</x:v>
      </x:c>
      <x:c r="H371" s="11" t="n">
        <x:v>76300.8</x:v>
      </x:c>
      <x:c r="I371" s="11" t="n">
        <x:v>176342.09</x:v>
      </x:c>
    </x:row>
    <x:row r="372">
      <x:c r="A372" t="n">
        <x:v>2023</x:v>
      </x:c>
      <x:c r="B372" t="str">
        <x:v>2023-05</x:v>
      </x:c>
      <x:c r="C372" t="str">
        <x:v>Water</x:v>
      </x:c>
      <x:c r="D372" t="str">
        <x:v>Hospitality</x:v>
      </x:c>
      <x:c r="E372" t="str">
        <x:v>NSW</x:v>
      </x:c>
      <x:c r="F372" s="11" t="n">
        <x:v>25534.49</x:v>
      </x:c>
      <x:c r="G372" s="13" t="n">
        <x:v>10177</x:v>
      </x:c>
      <x:c r="H372" s="11" t="n">
        <x:v>9614.49</x:v>
      </x:c>
      <x:c r="I372" s="11" t="n">
        <x:v>23642.75</x:v>
      </x:c>
    </x:row>
    <x:row r="373">
      <x:c r="A373" t="n">
        <x:v>2023</x:v>
      </x:c>
      <x:c r="B373" t="str">
        <x:v>2023-05</x:v>
      </x:c>
      <x:c r="C373" t="str">
        <x:v>Water</x:v>
      </x:c>
      <x:c r="D373" t="str">
        <x:v>Hospitality</x:v>
      </x:c>
      <x:c r="E373" t="str">
        <x:v>QLD</x:v>
      </x:c>
      <x:c r="F373" s="11" t="n">
        <x:v>23604.91</x:v>
      </x:c>
      <x:c r="G373" s="13" t="n">
        <x:v>9486</x:v>
      </x:c>
      <x:c r="H373" s="11" t="n">
        <x:v>8660.23</x:v>
      </x:c>
      <x:c r="I373" s="11" t="n">
        <x:v>22726.079999999998</x:v>
      </x:c>
    </x:row>
    <x:row r="374">
      <x:c r="A374" t="n">
        <x:v>2023</x:v>
      </x:c>
      <x:c r="B374" t="str">
        <x:v>2023-05</x:v>
      </x:c>
      <x:c r="C374" t="str">
        <x:v>Water</x:v>
      </x:c>
      <x:c r="D374" t="str">
        <x:v>Hospitality</x:v>
      </x:c>
      <x:c r="E374" t="str">
        <x:v>VIC</x:v>
      </x:c>
      <x:c r="F374" s="11" t="n">
        <x:v>22572.66</x:v>
      </x:c>
      <x:c r="G374" s="13" t="n">
        <x:v>8881</x:v>
      </x:c>
      <x:c r="H374" s="11" t="n">
        <x:v>8536.78</x:v>
      </x:c>
      <x:c r="I374" s="11" t="n">
        <x:v>22048.07</x:v>
      </x:c>
    </x:row>
    <x:row r="375">
      <x:c r="A375" t="n">
        <x:v>2023</x:v>
      </x:c>
      <x:c r="B375" t="str">
        <x:v>2023-05</x:v>
      </x:c>
      <x:c r="C375" t="str">
        <x:v>Water</x:v>
      </x:c>
      <x:c r="D375" t="str">
        <x:v>Independent retail</x:v>
      </x:c>
      <x:c r="E375" t="str">
        <x:v>NSW</x:v>
      </x:c>
      <x:c r="F375" s="11" t="n">
        <x:v>64927.59</x:v>
      </x:c>
      <x:c r="G375" s="13" t="n">
        <x:v>23711</x:v>
      </x:c>
      <x:c r="H375" s="11" t="n">
        <x:v>27553.11</x:v>
      </x:c>
      <x:c r="I375" s="11" t="n">
        <x:v>64262.24</x:v>
      </x:c>
    </x:row>
    <x:row r="376">
      <x:c r="A376" t="n">
        <x:v>2023</x:v>
      </x:c>
      <x:c r="B376" t="str">
        <x:v>2023-05</x:v>
      </x:c>
      <x:c r="C376" t="str">
        <x:v>Water</x:v>
      </x:c>
      <x:c r="D376" t="str">
        <x:v>Independent retail</x:v>
      </x:c>
      <x:c r="E376" t="str">
        <x:v>QLD</x:v>
      </x:c>
      <x:c r="F376" s="11" t="n">
        <x:v>64343.7</x:v>
      </x:c>
      <x:c r="G376" s="13" t="n">
        <x:v>23753</x:v>
      </x:c>
      <x:c r="H376" s="11" t="n">
        <x:v>26695.98</x:v>
      </x:c>
      <x:c r="I376" s="11" t="n">
        <x:v>61800.09</x:v>
      </x:c>
    </x:row>
    <x:row r="377">
      <x:c r="A377" t="n">
        <x:v>2023</x:v>
      </x:c>
      <x:c r="B377" t="str">
        <x:v>2023-05</x:v>
      </x:c>
      <x:c r="C377" t="str">
        <x:v>Water</x:v>
      </x:c>
      <x:c r="D377" t="str">
        <x:v>Independent retail</x:v>
      </x:c>
      <x:c r="E377" t="str">
        <x:v>VIC</x:v>
      </x:c>
      <x:c r="F377" s="11" t="n">
        <x:v>61324.92</x:v>
      </x:c>
      <x:c r="G377" s="13" t="n">
        <x:v>22820</x:v>
      </x:c>
      <x:c r="H377" s="11" t="n">
        <x:v>25473.72</x:v>
      </x:c>
      <x:c r="I377" s="11" t="n">
        <x:v>59940.88</x:v>
      </x:c>
    </x:row>
    <x:row r="378">
      <x:c r="A378" t="n">
        <x:v>2023</x:v>
      </x:c>
      <x:c r="B378" t="str">
        <x:v>2023-05</x:v>
      </x:c>
      <x:c r="C378" t="str">
        <x:v>Water</x:v>
      </x:c>
      <x:c r="D378" t="str">
        <x:v>Petrol</x:v>
      </x:c>
      <x:c r="E378" t="str">
        <x:v>NSW</x:v>
      </x:c>
      <x:c r="F378" s="11" t="n">
        <x:v>74444.51</x:v>
      </x:c>
      <x:c r="G378" s="13" t="n">
        <x:v>25282</x:v>
      </x:c>
      <x:c r="H378" s="11" t="n">
        <x:v>34428.67</x:v>
      </x:c>
      <x:c r="I378" s="11" t="n">
        <x:v>69198.41</x:v>
      </x:c>
    </x:row>
    <x:row r="379">
      <x:c r="A379" t="n">
        <x:v>2023</x:v>
      </x:c>
      <x:c r="B379" t="str">
        <x:v>2023-05</x:v>
      </x:c>
      <x:c r="C379" t="str">
        <x:v>Water</x:v>
      </x:c>
      <x:c r="D379" t="str">
        <x:v>Petrol</x:v>
      </x:c>
      <x:c r="E379" t="str">
        <x:v>QLD</x:v>
      </x:c>
      <x:c r="F379" s="11" t="n">
        <x:v>67157.56</x:v>
      </x:c>
      <x:c r="G379" s="13" t="n">
        <x:v>22499</x:v>
      </x:c>
      <x:c r="H379" s="11" t="n">
        <x:v>32140.88</x:v>
      </x:c>
      <x:c r="I379" s="11" t="n">
        <x:v>66534.56999999999</x:v>
      </x:c>
    </x:row>
    <x:row r="380">
      <x:c r="A380" t="n">
        <x:v>2023</x:v>
      </x:c>
      <x:c r="B380" t="str">
        <x:v>2023-05</x:v>
      </x:c>
      <x:c r="C380" t="str">
        <x:v>Water</x:v>
      </x:c>
      <x:c r="D380" t="str">
        <x:v>Petrol</x:v>
      </x:c>
      <x:c r="E380" t="str">
        <x:v>VIC</x:v>
      </x:c>
      <x:c r="F380" s="11" t="n">
        <x:v>67765.96</x:v>
      </x:c>
      <x:c r="G380" s="13" t="n">
        <x:v>22773</x:v>
      </x:c>
      <x:c r="H380" s="11" t="n">
        <x:v>31750.4</x:v>
      </x:c>
      <x:c r="I380" s="11" t="n">
        <x:v>64544.67</x:v>
      </x:c>
    </x:row>
    <x:row r="381">
      <x:c r="A381" t="n">
        <x:v>2023</x:v>
      </x:c>
      <x:c r="B381" t="str">
        <x:v>2023-06</x:v>
      </x:c>
      <x:c r="C381" t="str">
        <x:v>Coffee</x:v>
      </x:c>
      <x:c r="D381" t="str">
        <x:v>Convenience</x:v>
      </x:c>
      <x:c r="E381" t="str">
        <x:v>NSW</x:v>
      </x:c>
      <x:c r="F381" s="11" t="n">
        <x:v>23904.02</x:v>
      </x:c>
      <x:c r="G381" s="13" t="n">
        <x:v>4825</x:v>
      </x:c>
      <x:c r="H381" s="11" t="n">
        <x:v>10132.039999999999</x:v>
      </x:c>
      <x:c r="I381" s="11" t="n">
        <x:v>23223.98</x:v>
      </x:c>
    </x:row>
    <x:row r="382">
      <x:c r="A382" t="n">
        <x:v>2023</x:v>
      </x:c>
      <x:c r="B382" t="str">
        <x:v>2023-06</x:v>
      </x:c>
      <x:c r="C382" t="str">
        <x:v>Coffee</x:v>
      </x:c>
      <x:c r="D382" t="str">
        <x:v>Convenience</x:v>
      </x:c>
      <x:c r="E382" t="str">
        <x:v>QLD</x:v>
      </x:c>
      <x:c r="F382" s="11" t="n">
        <x:v>23091.96</x:v>
      </x:c>
      <x:c r="G382" s="13" t="n">
        <x:v>4473</x:v>
      </x:c>
      <x:c r="H382" s="11" t="n">
        <x:v>10402.21</x:v>
      </x:c>
      <x:c r="I382" s="11" t="n">
        <x:v>22308.83</x:v>
      </x:c>
    </x:row>
    <x:row r="383">
      <x:c r="A383" t="n">
        <x:v>2023</x:v>
      </x:c>
      <x:c r="B383" t="str">
        <x:v>2023-06</x:v>
      </x:c>
      <x:c r="C383" t="str">
        <x:v>Coffee</x:v>
      </x:c>
      <x:c r="D383" t="str">
        <x:v>Convenience</x:v>
      </x:c>
      <x:c r="E383" t="str">
        <x:v>VIC</x:v>
      </x:c>
      <x:c r="F383" s="11" t="n">
        <x:v>22406.72</x:v>
      </x:c>
      <x:c r="G383" s="13" t="n">
        <x:v>4402</x:v>
      </x:c>
      <x:c r="H383" s="11" t="n">
        <x:v>9878.58</x:v>
      </x:c>
      <x:c r="I383" s="11" t="n">
        <x:v>21660.98</x:v>
      </x:c>
    </x:row>
    <x:row r="384">
      <x:c r="A384" t="n">
        <x:v>2023</x:v>
      </x:c>
      <x:c r="B384" t="str">
        <x:v>2023-06</x:v>
      </x:c>
      <x:c r="C384" t="str">
        <x:v>Coffee</x:v>
      </x:c>
      <x:c r="D384" t="str">
        <x:v>Grocery</x:v>
      </x:c>
      <x:c r="E384" t="str">
        <x:v>NSW</x:v>
      </x:c>
      <x:c r="F384" s="11" t="n">
        <x:v>57269.61</x:v>
      </x:c>
      <x:c r="G384" s="13" t="n">
        <x:v>13307</x:v>
      </x:c>
      <x:c r="H384" s="11" t="n">
        <x:v>19193.7</x:v>
      </x:c>
      <x:c r="I384" s="11" t="n">
        <x:v>57621.84</x:v>
      </x:c>
    </x:row>
    <x:row r="385">
      <x:c r="A385" t="n">
        <x:v>2023</x:v>
      </x:c>
      <x:c r="B385" t="str">
        <x:v>2023-06</x:v>
      </x:c>
      <x:c r="C385" t="str">
        <x:v>Coffee</x:v>
      </x:c>
      <x:c r="D385" t="str">
        <x:v>Grocery</x:v>
      </x:c>
      <x:c r="E385" t="str">
        <x:v>QLD</x:v>
      </x:c>
      <x:c r="F385" s="11" t="n">
        <x:v>54798.82</x:v>
      </x:c>
      <x:c r="G385" s="13" t="n">
        <x:v>13169</x:v>
      </x:c>
      <x:c r="H385" s="11" t="n">
        <x:v>17529.84</x:v>
      </x:c>
      <x:c r="I385" s="11" t="n">
        <x:v>55390.44</x:v>
      </x:c>
    </x:row>
    <x:row r="386">
      <x:c r="A386" t="n">
        <x:v>2023</x:v>
      </x:c>
      <x:c r="B386" t="str">
        <x:v>2023-06</x:v>
      </x:c>
      <x:c r="C386" t="str">
        <x:v>Coffee</x:v>
      </x:c>
      <x:c r="D386" t="str">
        <x:v>Grocery</x:v>
      </x:c>
      <x:c r="E386" t="str">
        <x:v>VIC</x:v>
      </x:c>
      <x:c r="F386" s="11" t="n">
        <x:v>55559.56</x:v>
      </x:c>
      <x:c r="G386" s="13" t="n">
        <x:v>13182</x:v>
      </x:c>
      <x:c r="H386" s="11" t="n">
        <x:v>18150.1</x:v>
      </x:c>
      <x:c r="I386" s="11" t="n">
        <x:v>53728.81</x:v>
      </x:c>
    </x:row>
    <x:row r="387">
      <x:c r="A387" t="n">
        <x:v>2023</x:v>
      </x:c>
      <x:c r="B387" t="str">
        <x:v>2023-06</x:v>
      </x:c>
      <x:c r="C387" t="str">
        <x:v>Coffee</x:v>
      </x:c>
      <x:c r="D387" t="str">
        <x:v>Hospitality</x:v>
      </x:c>
      <x:c r="E387" t="str">
        <x:v>NSW</x:v>
      </x:c>
      <x:c r="F387" s="11" t="n">
        <x:v>7477.27</x:v>
      </x:c>
      <x:c r="G387" s="13" t="n">
        <x:v>1918</x:v>
      </x:c>
      <x:c r="H387" s="11" t="n">
        <x:v>1968.32</x:v>
      </x:c>
      <x:c r="I387" s="11" t="n">
        <x:v>7217.85</x:v>
      </x:c>
    </x:row>
    <x:row r="388">
      <x:c r="A388" t="n">
        <x:v>2023</x:v>
      </x:c>
      <x:c r="B388" t="str">
        <x:v>2023-06</x:v>
      </x:c>
      <x:c r="C388" t="str">
        <x:v>Coffee</x:v>
      </x:c>
      <x:c r="D388" t="str">
        <x:v>Hospitality</x:v>
      </x:c>
      <x:c r="E388" t="str">
        <x:v>QLD</x:v>
      </x:c>
      <x:c r="F388" s="11" t="n">
        <x:v>7192.52</x:v>
      </x:c>
      <x:c r="G388" s="13" t="n">
        <x:v>1830</x:v>
      </x:c>
      <x:c r="H388" s="11" t="n">
        <x:v>1977.3</x:v>
      </x:c>
      <x:c r="I388" s="11" t="n">
        <x:v>6942.2699999999995</x:v>
      </x:c>
    </x:row>
    <x:row r="389">
      <x:c r="A389" t="n">
        <x:v>2023</x:v>
      </x:c>
      <x:c r="B389" t="str">
        <x:v>2023-06</x:v>
      </x:c>
      <x:c r="C389" t="str">
        <x:v>Coffee</x:v>
      </x:c>
      <x:c r="D389" t="str">
        <x:v>Hospitality</x:v>
      </x:c>
      <x:c r="E389" t="str">
        <x:v>VIC</x:v>
      </x:c>
      <x:c r="F389" s="11" t="n">
        <x:v>7030.23</x:v>
      </x:c>
      <x:c r="G389" s="13" t="n">
        <x:v>1813</x:v>
      </x:c>
      <x:c r="H389" s="11" t="n">
        <x:v>1864.28</x:v>
      </x:c>
      <x:c r="I389" s="11" t="n">
        <x:v>6743.639999999999</x:v>
      </x:c>
    </x:row>
    <x:row r="390">
      <x:c r="A390" t="n">
        <x:v>2023</x:v>
      </x:c>
      <x:c r="B390" t="str">
        <x:v>2023-06</x:v>
      </x:c>
      <x:c r="C390" t="str">
        <x:v>Coffee</x:v>
      </x:c>
      <x:c r="D390" t="str">
        <x:v>Independent retail</x:v>
      </x:c>
      <x:c r="E390" t="str">
        <x:v>NSW</x:v>
      </x:c>
      <x:c r="F390" s="11" t="n">
        <x:v>20088.79</x:v>
      </x:c>
      <x:c r="G390" s="13" t="n">
        <x:v>4485</x:v>
      </x:c>
      <x:c r="H390" s="11" t="n">
        <x:v>7419.38</x:v>
      </x:c>
      <x:c r="I390" s="11" t="n">
        <x:v>19581.579999999998</x:v>
      </x:c>
    </x:row>
    <x:row r="391">
      <x:c r="A391" t="n">
        <x:v>2023</x:v>
      </x:c>
      <x:c r="B391" t="str">
        <x:v>2023-06</x:v>
      </x:c>
      <x:c r="C391" t="str">
        <x:v>Coffee</x:v>
      </x:c>
      <x:c r="D391" t="str">
        <x:v>Independent retail</x:v>
      </x:c>
      <x:c r="E391" t="str">
        <x:v>QLD</x:v>
      </x:c>
      <x:c r="F391" s="11" t="n">
        <x:v>19681.77</x:v>
      </x:c>
      <x:c r="G391" s="13" t="n">
        <x:v>4201</x:v>
      </x:c>
      <x:c r="H391" s="11" t="n">
        <x:v>7595.75</x:v>
      </x:c>
      <x:c r="I391" s="11" t="n">
        <x:v>18833.14</x:v>
      </x:c>
    </x:row>
    <x:row r="392">
      <x:c r="A392" t="n">
        <x:v>2023</x:v>
      </x:c>
      <x:c r="B392" t="str">
        <x:v>2023-06</x:v>
      </x:c>
      <x:c r="C392" t="str">
        <x:v>Coffee</x:v>
      </x:c>
      <x:c r="D392" t="str">
        <x:v>Independent retail</x:v>
      </x:c>
      <x:c r="E392" t="str">
        <x:v>VIC</x:v>
      </x:c>
      <x:c r="F392" s="11" t="n">
        <x:v>18706.41</x:v>
      </x:c>
      <x:c r="G392" s="13" t="n">
        <x:v>3998</x:v>
      </x:c>
      <x:c r="H392" s="11" t="n">
        <x:v>7170.5199999999995</x:v>
      </x:c>
      <x:c r="I392" s="11" t="n">
        <x:v>18264.92</x:v>
      </x:c>
    </x:row>
    <x:row r="393">
      <x:c r="A393" t="n">
        <x:v>2023</x:v>
      </x:c>
      <x:c r="B393" t="str">
        <x:v>2023-06</x:v>
      </x:c>
      <x:c r="C393" t="str">
        <x:v>Coffee</x:v>
      </x:c>
      <x:c r="D393" t="str">
        <x:v>Petrol</x:v>
      </x:c>
      <x:c r="E393" t="str">
        <x:v>NSW</x:v>
      </x:c>
      <x:c r="F393" s="11" t="n">
        <x:v>21730.28</x:v>
      </x:c>
      <x:c r="G393" s="13" t="n">
        <x:v>4295</x:v>
      </x:c>
      <x:c r="H393" s="11" t="n">
        <x:v>9455.3</x:v>
      </x:c>
      <x:c r="I393" s="11" t="n">
        <x:v>21110.829999999998</x:v>
      </x:c>
    </x:row>
    <x:row r="394">
      <x:c r="A394" t="n">
        <x:v>2023</x:v>
      </x:c>
      <x:c r="B394" t="str">
        <x:v>2023-06</x:v>
      </x:c>
      <x:c r="C394" t="str">
        <x:v>Coffee</x:v>
      </x:c>
      <x:c r="D394" t="str">
        <x:v>Petrol</x:v>
      </x:c>
      <x:c r="E394" t="str">
        <x:v>QLD</x:v>
      </x:c>
      <x:c r="F394" s="11" t="n">
        <x:v>19781.35</x:v>
      </x:c>
      <x:c r="G394" s="13" t="n">
        <x:v>4102</x:v>
      </x:c>
      <x:c r="H394" s="11" t="n">
        <x:v>8030.14</x:v>
      </x:c>
      <x:c r="I394" s="11" t="n">
        <x:v>20288.36</x:v>
      </x:c>
    </x:row>
    <x:row r="395">
      <x:c r="A395" t="n">
        <x:v>2023</x:v>
      </x:c>
      <x:c r="B395" t="str">
        <x:v>2023-06</x:v>
      </x:c>
      <x:c r="C395" t="str">
        <x:v>Coffee</x:v>
      </x:c>
      <x:c r="D395" t="str">
        <x:v>Petrol</x:v>
      </x:c>
      <x:c r="E395" t="str">
        <x:v>VIC</x:v>
      </x:c>
      <x:c r="F395" s="11" t="n">
        <x:v>20438.47</x:v>
      </x:c>
      <x:c r="G395" s="13" t="n">
        <x:v>4113</x:v>
      </x:c>
      <x:c r="H395" s="11" t="n">
        <x:v>8584.74</x:v>
      </x:c>
      <x:c r="I395" s="11" t="n">
        <x:v>19695.15</x:v>
      </x:c>
    </x:row>
    <x:row r="396">
      <x:c r="A396" t="n">
        <x:v>2023</x:v>
      </x:c>
      <x:c r="B396" t="str">
        <x:v>2023-06</x:v>
      </x:c>
      <x:c r="C396" t="str">
        <x:v>Energy</x:v>
      </x:c>
      <x:c r="D396" t="str">
        <x:v>Convenience</x:v>
      </x:c>
      <x:c r="E396" t="str">
        <x:v>NSW</x:v>
      </x:c>
      <x:c r="F396" s="11" t="n">
        <x:v>56486.42</x:v>
      </x:c>
      <x:c r="G396" s="13" t="n">
        <x:v>10603</x:v>
      </x:c>
      <x:c r="H396" s="11" t="n">
        <x:v>34499.98</x:v>
      </x:c>
      <x:c r="I396" s="11" t="n">
        <x:v>85448.34</x:v>
      </x:c>
    </x:row>
    <x:row r="397">
      <x:c r="A397" t="n">
        <x:v>2023</x:v>
      </x:c>
      <x:c r="B397" t="str">
        <x:v>2023-06</x:v>
      </x:c>
      <x:c r="C397" t="str">
        <x:v>Energy</x:v>
      </x:c>
      <x:c r="D397" t="str">
        <x:v>Convenience</x:v>
      </x:c>
      <x:c r="E397" t="str">
        <x:v>QLD</x:v>
      </x:c>
      <x:c r="F397" s="11" t="n">
        <x:v>55122.42</x:v>
      </x:c>
      <x:c r="G397" s="13" t="n">
        <x:v>10343</x:v>
      </x:c>
      <x:c r="H397" s="11" t="n">
        <x:v>33118.9</x:v>
      </x:c>
      <x:c r="I397" s="11" t="n">
        <x:v>82168.27</x:v>
      </x:c>
    </x:row>
    <x:row r="398">
      <x:c r="A398" t="n">
        <x:v>2023</x:v>
      </x:c>
      <x:c r="B398" t="str">
        <x:v>2023-06</x:v>
      </x:c>
      <x:c r="C398" t="str">
        <x:v>Energy</x:v>
      </x:c>
      <x:c r="D398" t="str">
        <x:v>Convenience</x:v>
      </x:c>
      <x:c r="E398" t="str">
        <x:v>VIC</x:v>
      </x:c>
      <x:c r="F398" s="11" t="n">
        <x:v>53713.98</x:v>
      </x:c>
      <x:c r="G398" s="13" t="n">
        <x:v>9957</x:v>
      </x:c>
      <x:c r="H398" s="11" t="n">
        <x:v>32554.58</x:v>
      </x:c>
      <x:c r="I398" s="11" t="n">
        <x:v>79696.73</x:v>
      </x:c>
    </x:row>
    <x:row r="399">
      <x:c r="A399" t="n">
        <x:v>2023</x:v>
      </x:c>
      <x:c r="B399" t="str">
        <x:v>2023-06</x:v>
      </x:c>
      <x:c r="C399" t="str">
        <x:v>Energy</x:v>
      </x:c>
      <x:c r="D399" t="str">
        <x:v>Grocery</x:v>
      </x:c>
      <x:c r="E399" t="str">
        <x:v>NSW</x:v>
      </x:c>
      <x:c r="F399" s="11" t="n">
        <x:v>223888.41</x:v>
      </x:c>
      <x:c r="G399" s="13" t="n">
        <x:v>49295</x:v>
      </x:c>
      <x:c r="H399" s="11" t="n">
        <x:v>119921.05</x:v>
      </x:c>
      <x:c r="I399" s="11" t="n">
        <x:v>212787.61</x:v>
      </x:c>
    </x:row>
    <x:row r="400">
      <x:c r="A400" t="n">
        <x:v>2023</x:v>
      </x:c>
      <x:c r="B400" t="str">
        <x:v>2023-06</x:v>
      </x:c>
      <x:c r="C400" t="str">
        <x:v>Energy</x:v>
      </x:c>
      <x:c r="D400" t="str">
        <x:v>Grocery</x:v>
      </x:c>
      <x:c r="E400" t="str">
        <x:v>QLD</x:v>
      </x:c>
      <x:c r="F400" s="11" t="n">
        <x:v>210496.06</x:v>
      </x:c>
      <x:c r="G400" s="13" t="n">
        <x:v>45690</x:v>
      </x:c>
      <x:c r="H400" s="11" t="n">
        <x:v>114998.62</x:v>
      </x:c>
      <x:c r="I400" s="11" t="n">
        <x:v>204610.05</x:v>
      </x:c>
    </x:row>
    <x:row r="401">
      <x:c r="A401" t="n">
        <x:v>2023</x:v>
      </x:c>
      <x:c r="B401" t="str">
        <x:v>2023-06</x:v>
      </x:c>
      <x:c r="C401" t="str">
        <x:v>Energy</x:v>
      </x:c>
      <x:c r="D401" t="str">
        <x:v>Grocery</x:v>
      </x:c>
      <x:c r="E401" t="str">
        <x:v>VIC</x:v>
      </x:c>
      <x:c r="F401" s="11" t="n">
        <x:v>206307.72</x:v>
      </x:c>
      <x:c r="G401" s="13" t="n">
        <x:v>45044</x:v>
      </x:c>
      <x:c r="H401" s="11" t="n">
        <x:v>111939.68000000001</x:v>
      </x:c>
      <x:c r="I401" s="11" t="n">
        <x:v>198476.11</x:v>
      </x:c>
    </x:row>
    <x:row r="402">
      <x:c r="A402" t="n">
        <x:v>2023</x:v>
      </x:c>
      <x:c r="B402" t="str">
        <x:v>2023-06</x:v>
      </x:c>
      <x:c r="C402" t="str">
        <x:v>Energy</x:v>
      </x:c>
      <x:c r="D402" t="str">
        <x:v>Hospitality</x:v>
      </x:c>
      <x:c r="E402" t="str">
        <x:v>NSW</x:v>
      </x:c>
      <x:c r="F402" s="11" t="n">
        <x:v>27801.07</x:v>
      </x:c>
      <x:c r="G402" s="13" t="n">
        <x:v>6611</x:v>
      </x:c>
      <x:c r="H402" s="11" t="n">
        <x:v>13980.11</x:v>
      </x:c>
      <x:c r="I402" s="11" t="n">
        <x:v>26635.22</x:v>
      </x:c>
    </x:row>
    <x:row r="403">
      <x:c r="A403" t="n">
        <x:v>2023</x:v>
      </x:c>
      <x:c r="B403" t="str">
        <x:v>2023-06</x:v>
      </x:c>
      <x:c r="C403" t="str">
        <x:v>Energy</x:v>
      </x:c>
      <x:c r="D403" t="str">
        <x:v>Hospitality</x:v>
      </x:c>
      <x:c r="E403" t="str">
        <x:v>QLD</x:v>
      </x:c>
      <x:c r="F403" s="11" t="n">
        <x:v>27293.28</x:v>
      </x:c>
      <x:c r="G403" s="13" t="n">
        <x:v>6294</x:v>
      </x:c>
      <x:c r="H403" s="11" t="n">
        <x:v>13967.039999999999</x:v>
      </x:c>
      <x:c r="I403" s="11" t="n">
        <x:v>25597.66</x:v>
      </x:c>
    </x:row>
    <x:row r="404">
      <x:c r="A404" t="n">
        <x:v>2023</x:v>
      </x:c>
      <x:c r="B404" t="str">
        <x:v>2023-06</x:v>
      </x:c>
      <x:c r="C404" t="str">
        <x:v>Energy</x:v>
      </x:c>
      <x:c r="D404" t="str">
        <x:v>Hospitality</x:v>
      </x:c>
      <x:c r="E404" t="str">
        <x:v>VIC</x:v>
      </x:c>
      <x:c r="F404" s="11" t="n">
        <x:v>25992.7</x:v>
      </x:c>
      <x:c r="G404" s="13" t="n">
        <x:v>6116</x:v>
      </x:c>
      <x:c r="H404" s="11" t="n">
        <x:v>13176.74</x:v>
      </x:c>
      <x:c r="I404" s="11" t="n">
        <x:v>24807.89</x:v>
      </x:c>
    </x:row>
    <x:row r="405">
      <x:c r="A405" t="n">
        <x:v>2023</x:v>
      </x:c>
      <x:c r="B405" t="str">
        <x:v>2023-06</x:v>
      </x:c>
      <x:c r="C405" t="str">
        <x:v>Energy</x:v>
      </x:c>
      <x:c r="D405" t="str">
        <x:v>Independent retail</x:v>
      </x:c>
      <x:c r="E405" t="str">
        <x:v>NSW</x:v>
      </x:c>
      <x:c r="F405" s="11" t="n">
        <x:v>74054.59</x:v>
      </x:c>
      <x:c r="G405" s="13" t="n">
        <x:v>15363</x:v>
      </x:c>
      <x:c r="H405" s="11" t="n">
        <x:v>41385.59</x:v>
      </x:c>
      <x:c r="I405" s="11" t="n">
        <x:v>72300.8</x:v>
      </x:c>
    </x:row>
    <x:row r="406">
      <x:c r="A406" t="n">
        <x:v>2023</x:v>
      </x:c>
      <x:c r="B406" t="str">
        <x:v>2023-06</x:v>
      </x:c>
      <x:c r="C406" t="str">
        <x:v>Energy</x:v>
      </x:c>
      <x:c r="D406" t="str">
        <x:v>Independent retail</x:v>
      </x:c>
      <x:c r="E406" t="str">
        <x:v>QLD</x:v>
      </x:c>
      <x:c r="F406" s="11" t="n">
        <x:v>71070.2</x:v>
      </x:c>
      <x:c r="G406" s="13" t="n">
        <x:v>15019</x:v>
      </x:c>
      <x:c r="H406" s="11" t="n">
        <x:v>38887.56</x:v>
      </x:c>
      <x:c r="I406" s="11" t="n">
        <x:v>69527.16</x:v>
      </x:c>
    </x:row>
    <x:row r="407">
      <x:c r="A407" t="n">
        <x:v>2023</x:v>
      </x:c>
      <x:c r="B407" t="str">
        <x:v>2023-06</x:v>
      </x:c>
      <x:c r="C407" t="str">
        <x:v>Energy</x:v>
      </x:c>
      <x:c r="D407" t="str">
        <x:v>Independent retail</x:v>
      </x:c>
      <x:c r="E407" t="str">
        <x:v>VIC</x:v>
      </x:c>
      <x:c r="F407" s="11" t="n">
        <x:v>70027.55</x:v>
      </x:c>
      <x:c r="G407" s="13" t="n">
        <x:v>14707</x:v>
      </x:c>
      <x:c r="H407" s="11" t="n">
        <x:v>38511.75</x:v>
      </x:c>
      <x:c r="I407" s="11" t="n">
        <x:v>67449.06</x:v>
      </x:c>
    </x:row>
    <x:row r="408">
      <x:c r="A408" t="n">
        <x:v>2023</x:v>
      </x:c>
      <x:c r="B408" t="str">
        <x:v>2023-06</x:v>
      </x:c>
      <x:c r="C408" t="str">
        <x:v>Energy</x:v>
      </x:c>
      <x:c r="D408" t="str">
        <x:v>Petrol</x:v>
      </x:c>
      <x:c r="E408" t="str">
        <x:v>NSW</x:v>
      </x:c>
      <x:c r="F408" s="11" t="n">
        <x:v>81547.68</x:v>
      </x:c>
      <x:c r="G408" s="13" t="n">
        <x:v>15711</x:v>
      </x:c>
      <x:c r="H408" s="11" t="n">
        <x:v>47592.8</x:v>
      </x:c>
      <x:c r="I408" s="11" t="n">
        <x:v>77899.5</x:v>
      </x:c>
    </x:row>
    <x:row r="409">
      <x:c r="A409" t="n">
        <x:v>2023</x:v>
      </x:c>
      <x:c r="B409" t="str">
        <x:v>2023-06</x:v>
      </x:c>
      <x:c r="C409" t="str">
        <x:v>Energy</x:v>
      </x:c>
      <x:c r="D409" t="str">
        <x:v>Petrol</x:v>
      </x:c>
      <x:c r="E409" t="str">
        <x:v>QLD</x:v>
      </x:c>
      <x:c r="F409" s="11" t="n">
        <x:v>78325.22</x:v>
      </x:c>
      <x:c r="G409" s="13" t="n">
        <x:v>15387</x:v>
      </x:c>
      <x:c r="H409" s="11" t="n">
        <x:v>45795.26</x:v>
      </x:c>
      <x:c r="I409" s="11" t="n">
        <x:v>74911.4</x:v>
      </x:c>
    </x:row>
    <x:row r="410">
      <x:c r="A410" t="n">
        <x:v>2023</x:v>
      </x:c>
      <x:c r="B410" t="str">
        <x:v>2023-06</x:v>
      </x:c>
      <x:c r="C410" t="str">
        <x:v>Energy</x:v>
      </x:c>
      <x:c r="D410" t="str">
        <x:v>Petrol</x:v>
      </x:c>
      <x:c r="E410" t="str">
        <x:v>VIC</x:v>
      </x:c>
      <x:c r="F410" s="11" t="n">
        <x:v>76617.78</x:v>
      </x:c>
      <x:c r="G410" s="13" t="n">
        <x:v>15214</x:v>
      </x:c>
      <x:c r="H410" s="11" t="n">
        <x:v>44194.22</x:v>
      </x:c>
      <x:c r="I410" s="11" t="n">
        <x:v>72665.36</x:v>
      </x:c>
    </x:row>
    <x:row r="411">
      <x:c r="A411" t="n">
        <x:v>2023</x:v>
      </x:c>
      <x:c r="B411" t="str">
        <x:v>2023-06</x:v>
      </x:c>
      <x:c r="C411" t="str">
        <x:v>Sparkling</x:v>
      </x:c>
      <x:c r="D411" t="str">
        <x:v>Convenience</x:v>
      </x:c>
      <x:c r="E411" t="str">
        <x:v>NSW</x:v>
      </x:c>
      <x:c r="F411" s="11" t="n">
        <x:v>108445.23</x:v>
      </x:c>
      <x:c r="G411" s="13" t="n">
        <x:v>26867</x:v>
      </x:c>
      <x:c r="H411" s="11" t="n">
        <x:v>59821.23</x:v>
      </x:c>
      <x:c r="I411" s="11" t="n">
        <x:v>103899.34</x:v>
      </x:c>
    </x:row>
    <x:row r="412">
      <x:c r="A412" t="n">
        <x:v>2023</x:v>
      </x:c>
      <x:c r="B412" t="str">
        <x:v>2023-06</x:v>
      </x:c>
      <x:c r="C412" t="str">
        <x:v>Sparkling</x:v>
      </x:c>
      <x:c r="D412" t="str">
        <x:v>Convenience</x:v>
      </x:c>
      <x:c r="E412" t="str">
        <x:v>QLD</x:v>
      </x:c>
      <x:c r="F412" s="11" t="n">
        <x:v>104903.54</x:v>
      </x:c>
      <x:c r="G412" s="13" t="n">
        <x:v>26600</x:v>
      </x:c>
      <x:c r="H412" s="11" t="n">
        <x:v>57302.56</x:v>
      </x:c>
      <x:c r="I412" s="11" t="n">
        <x:v>99889.53</x:v>
      </x:c>
    </x:row>
    <x:row r="413">
      <x:c r="A413" t="n">
        <x:v>2023</x:v>
      </x:c>
      <x:c r="B413" t="str">
        <x:v>2023-06</x:v>
      </x:c>
      <x:c r="C413" t="str">
        <x:v>Sparkling</x:v>
      </x:c>
      <x:c r="D413" t="str">
        <x:v>Convenience</x:v>
      </x:c>
      <x:c r="E413" t="str">
        <x:v>VIC</x:v>
      </x:c>
      <x:c r="F413" s="11" t="n">
        <x:v>100996.16</x:v>
      </x:c>
      <x:c r="G413" s="13" t="n">
        <x:v>25329</x:v>
      </x:c>
      <x:c r="H413" s="11" t="n">
        <x:v>55341.08</x:v>
      </x:c>
      <x:c r="I413" s="11" t="n">
        <x:v>96893.46</x:v>
      </x:c>
    </x:row>
    <x:row r="414">
      <x:c r="A414" t="n">
        <x:v>2023</x:v>
      </x:c>
      <x:c r="B414" t="str">
        <x:v>2023-06</x:v>
      </x:c>
      <x:c r="C414" t="str">
        <x:v>Sparkling</x:v>
      </x:c>
      <x:c r="D414" t="str">
        <x:v>Grocery</x:v>
      </x:c>
      <x:c r="E414" t="str">
        <x:v>NSW</x:v>
      </x:c>
      <x:c r="F414" s="11" t="n">
        <x:v>264629.79</x:v>
      </x:c>
      <x:c r="G414" s="13" t="n">
        <x:v>76276</x:v>
      </x:c>
      <x:c r="H414" s="11" t="n">
        <x:v>128904.07</x:v>
      </x:c>
      <x:c r="I414" s="11" t="n">
        <x:v>258423.66</x:v>
      </x:c>
    </x:row>
    <x:row r="415">
      <x:c r="A415" t="n">
        <x:v>2023</x:v>
      </x:c>
      <x:c r="B415" t="str">
        <x:v>2023-06</x:v>
      </x:c>
      <x:c r="C415" t="str">
        <x:v>Sparkling</x:v>
      </x:c>
      <x:c r="D415" t="str">
        <x:v>Grocery</x:v>
      </x:c>
      <x:c r="E415" t="str">
        <x:v>QLD</x:v>
      </x:c>
      <x:c r="F415" s="11" t="n">
        <x:v>257406.28</x:v>
      </x:c>
      <x:c r="G415" s="13" t="n">
        <x:v>73702</x:v>
      </x:c>
      <x:c r="H415" s="11" t="n">
        <x:v>125555</x:v>
      </x:c>
      <x:c r="I415" s="11" t="n">
        <x:v>248504.57</x:v>
      </x:c>
    </x:row>
    <x:row r="416">
      <x:c r="A416" t="n">
        <x:v>2023</x:v>
      </x:c>
      <x:c r="B416" t="str">
        <x:v>2023-06</x:v>
      </x:c>
      <x:c r="C416" t="str">
        <x:v>Sparkling</x:v>
      </x:c>
      <x:c r="D416" t="str">
        <x:v>Grocery</x:v>
      </x:c>
      <x:c r="E416" t="str">
        <x:v>VIC</x:v>
      </x:c>
      <x:c r="F416" s="11" t="n">
        <x:v>245266.49</x:v>
      </x:c>
      <x:c r="G416" s="13" t="n">
        <x:v>70167</x:v>
      </x:c>
      <x:c r="H416" s="11" t="n">
        <x:v>120180.49</x:v>
      </x:c>
      <x:c r="I416" s="11" t="n">
        <x:v>241065.93</x:v>
      </x:c>
    </x:row>
    <x:row r="417">
      <x:c r="A417" t="n">
        <x:v>2023</x:v>
      </x:c>
      <x:c r="B417" t="str">
        <x:v>2023-06</x:v>
      </x:c>
      <x:c r="C417" t="str">
        <x:v>Sparkling</x:v>
      </x:c>
      <x:c r="D417" t="str">
        <x:v>Hospitality</x:v>
      </x:c>
      <x:c r="E417" t="str">
        <x:v>NSW</x:v>
      </x:c>
      <x:c r="F417" s="11" t="n">
        <x:v>33446.96</x:v>
      </x:c>
      <x:c r="G417" s="13" t="n">
        <x:v>10373</x:v>
      </x:c>
      <x:c r="H417" s="11" t="n">
        <x:v>14929.14</x:v>
      </x:c>
      <x:c r="I417" s="11" t="n">
        <x:v>32299.600000000002</x:v>
      </x:c>
    </x:row>
    <x:row r="418">
      <x:c r="A418" t="n">
        <x:v>2023</x:v>
      </x:c>
      <x:c r="B418" t="str">
        <x:v>2023-06</x:v>
      </x:c>
      <x:c r="C418" t="str">
        <x:v>Sparkling</x:v>
      </x:c>
      <x:c r="D418" t="str">
        <x:v>Hospitality</x:v>
      </x:c>
      <x:c r="E418" t="str">
        <x:v>QLD</x:v>
      </x:c>
      <x:c r="F418" s="11" t="n">
        <x:v>32171.12</x:v>
      </x:c>
      <x:c r="G418" s="13" t="n">
        <x:v>10201</x:v>
      </x:c>
      <x:c r="H418" s="11" t="n">
        <x:v>13947.4</x:v>
      </x:c>
      <x:c r="I418" s="11" t="n">
        <x:v>31063.66</x:v>
      </x:c>
    </x:row>
    <x:row r="419">
      <x:c r="A419" t="n">
        <x:v>2023</x:v>
      </x:c>
      <x:c r="B419" t="str">
        <x:v>2023-06</x:v>
      </x:c>
      <x:c r="C419" t="str">
        <x:v>Sparkling</x:v>
      </x:c>
      <x:c r="D419" t="str">
        <x:v>Hospitality</x:v>
      </x:c>
      <x:c r="E419" t="str">
        <x:v>VIC</x:v>
      </x:c>
      <x:c r="F419" s="11" t="n">
        <x:v>31339.35</x:v>
      </x:c>
      <x:c r="G419" s="13" t="n">
        <x:v>9734</x:v>
      </x:c>
      <x:c r="H419" s="11" t="n">
        <x:v>13911.13</x:v>
      </x:c>
      <x:c r="I419" s="11" t="n">
        <x:v>30111.88</x:v>
      </x:c>
    </x:row>
    <x:row r="420">
      <x:c r="A420" t="n">
        <x:v>2023</x:v>
      </x:c>
      <x:c r="B420" t="str">
        <x:v>2023-06</x:v>
      </x:c>
      <x:c r="C420" t="str">
        <x:v>Sparkling</x:v>
      </x:c>
      <x:c r="D420" t="str">
        <x:v>Independent retail</x:v>
      </x:c>
      <x:c r="E420" t="str">
        <x:v>NSW</x:v>
      </x:c>
      <x:c r="F420" s="11" t="n">
        <x:v>93095.16</x:v>
      </x:c>
      <x:c r="G420" s="13" t="n">
        <x:v>26524</x:v>
      </x:c>
      <x:c r="H420" s="11" t="n">
        <x:v>45461.38</x:v>
      </x:c>
      <x:c r="I420" s="11" t="n">
        <x:v>87858.5</x:v>
      </x:c>
    </x:row>
    <x:row r="421">
      <x:c r="A421" t="n">
        <x:v>2023</x:v>
      </x:c>
      <x:c r="B421" t="str">
        <x:v>2023-06</x:v>
      </x:c>
      <x:c r="C421" t="str">
        <x:v>Sparkling</x:v>
      </x:c>
      <x:c r="D421" t="str">
        <x:v>Independent retail</x:v>
      </x:c>
      <x:c r="E421" t="str">
        <x:v>QLD</x:v>
      </x:c>
      <x:c r="F421" s="11" t="n">
        <x:v>87120.25</x:v>
      </x:c>
      <x:c r="G421" s="13" t="n">
        <x:v>24660</x:v>
      </x:c>
      <x:c r="H421" s="11" t="n">
        <x:v>42903.67</x:v>
      </x:c>
      <x:c r="I421" s="11" t="n">
        <x:v>84448.48</x:v>
      </x:c>
    </x:row>
    <x:row r="422">
      <x:c r="A422" t="n">
        <x:v>2023</x:v>
      </x:c>
      <x:c r="B422" t="str">
        <x:v>2023-06</x:v>
      </x:c>
      <x:c r="C422" t="str">
        <x:v>Sparkling</x:v>
      </x:c>
      <x:c r="D422" t="str">
        <x:v>Independent retail</x:v>
      </x:c>
      <x:c r="E422" t="str">
        <x:v>VIC</x:v>
      </x:c>
      <x:c r="F422" s="11" t="n">
        <x:v>83317.26</x:v>
      </x:c>
      <x:c r="G422" s="13" t="n">
        <x:v>24060</x:v>
      </x:c>
      <x:c r="H422" s="11" t="n">
        <x:v>40702.54</x:v>
      </x:c>
      <x:c r="I422" s="11" t="n">
        <x:v>81921.13</x:v>
      </x:c>
    </x:row>
    <x:row r="423">
      <x:c r="A423" t="n">
        <x:v>2023</x:v>
      </x:c>
      <x:c r="B423" t="str">
        <x:v>2023-06</x:v>
      </x:c>
      <x:c r="C423" t="str">
        <x:v>Sparkling</x:v>
      </x:c>
      <x:c r="D423" t="str">
        <x:v>Petrol</x:v>
      </x:c>
      <x:c r="E423" t="str">
        <x:v>NSW</x:v>
      </x:c>
      <x:c r="F423" s="11" t="n">
        <x:v>99300.95</x:v>
      </x:c>
      <x:c r="G423" s="13" t="n">
        <x:v>25851</x:v>
      </x:c>
      <x:c r="H423" s="11" t="n">
        <x:v>52905.19</x:v>
      </x:c>
      <x:c r="I423" s="11" t="n">
        <x:v>94774.81</x:v>
      </x:c>
    </x:row>
    <x:row r="424">
      <x:c r="A424" t="n">
        <x:v>2023</x:v>
      </x:c>
      <x:c r="B424" t="str">
        <x:v>2023-06</x:v>
      </x:c>
      <x:c r="C424" t="str">
        <x:v>Sparkling</x:v>
      </x:c>
      <x:c r="D424" t="str">
        <x:v>Petrol</x:v>
      </x:c>
      <x:c r="E424" t="str">
        <x:v>QLD</x:v>
      </x:c>
      <x:c r="F424" s="11" t="n">
        <x:v>93409.36</x:v>
      </x:c>
      <x:c r="G424" s="13" t="n">
        <x:v>23703</x:v>
      </x:c>
      <x:c r="H424" s="11" t="n">
        <x:v>50742.38</x:v>
      </x:c>
      <x:c r="I424" s="11" t="n">
        <x:v>91114.85</x:v>
      </x:c>
    </x:row>
    <x:row r="425">
      <x:c r="A425" t="n">
        <x:v>2023</x:v>
      </x:c>
      <x:c r="B425" t="str">
        <x:v>2023-06</x:v>
      </x:c>
      <x:c r="C425" t="str">
        <x:v>Sparkling</x:v>
      </x:c>
      <x:c r="D425" t="str">
        <x:v>Petrol</x:v>
      </x:c>
      <x:c r="E425" t="str">
        <x:v>VIC</x:v>
      </x:c>
      <x:c r="F425" s="11" t="n">
        <x:v>89799.44</x:v>
      </x:c>
      <x:c r="G425" s="13" t="n">
        <x:v>23392</x:v>
      </x:c>
      <x:c r="H425" s="11" t="n">
        <x:v>48391.12</x:v>
      </x:c>
      <x:c r="I425" s="11" t="n">
        <x:v>88377.8</x:v>
      </x:c>
    </x:row>
    <x:row r="426">
      <x:c r="A426" t="n">
        <x:v>2023</x:v>
      </x:c>
      <x:c r="B426" t="str">
        <x:v>2023-06</x:v>
      </x:c>
      <x:c r="C426" t="str">
        <x:v>Sports</x:v>
      </x:c>
      <x:c r="D426" t="str">
        <x:v>Convenience</x:v>
      </x:c>
      <x:c r="E426" t="str">
        <x:v>NSW</x:v>
      </x:c>
      <x:c r="F426" s="11" t="n">
        <x:v>58033.56</x:v>
      </x:c>
      <x:c r="G426" s="13" t="n">
        <x:v>11642</x:v>
      </x:c>
      <x:c r="H426" s="11" t="n">
        <x:v>31094.36</x:v>
      </x:c>
      <x:c r="I426" s="11" t="n">
        <x:v>57392.08</x:v>
      </x:c>
    </x:row>
    <x:row r="427">
      <x:c r="A427" t="n">
        <x:v>2023</x:v>
      </x:c>
      <x:c r="B427" t="str">
        <x:v>2023-06</x:v>
      </x:c>
      <x:c r="C427" t="str">
        <x:v>Sports</x:v>
      </x:c>
      <x:c r="D427" t="str">
        <x:v>Convenience</x:v>
      </x:c>
      <x:c r="E427" t="str">
        <x:v>QLD</x:v>
      </x:c>
      <x:c r="F427" s="11" t="n">
        <x:v>56713.090000000004</x:v>
      </x:c>
      <x:c r="G427" s="13" t="n">
        <x:v>11888</x:v>
      </x:c>
      <x:c r="H427" s="11" t="n">
        <x:v>29581.64</x:v>
      </x:c>
      <x:c r="I427" s="11" t="n">
        <x:v>55198.24</x:v>
      </x:c>
    </x:row>
    <x:row r="428">
      <x:c r="A428" t="n">
        <x:v>2023</x:v>
      </x:c>
      <x:c r="B428" t="str">
        <x:v>2023-06</x:v>
      </x:c>
      <x:c r="C428" t="str">
        <x:v>Sports</x:v>
      </x:c>
      <x:c r="D428" t="str">
        <x:v>Convenience</x:v>
      </x:c>
      <x:c r="E428" t="str">
        <x:v>VIC</x:v>
      </x:c>
      <x:c r="F428" s="11" t="n">
        <x:v>56439.229999999996</x:v>
      </x:c>
      <x:c r="G428" s="13" t="n">
        <x:v>11672</x:v>
      </x:c>
      <x:c r="H428" s="11" t="n">
        <x:v>29603.19</x:v>
      </x:c>
      <x:c r="I428" s="11" t="n">
        <x:v>53522.86</x:v>
      </x:c>
    </x:row>
    <x:row r="429">
      <x:c r="A429" t="n">
        <x:v>2023</x:v>
      </x:c>
      <x:c r="B429" t="str">
        <x:v>2023-06</x:v>
      </x:c>
      <x:c r="C429" t="str">
        <x:v>Sports</x:v>
      </x:c>
      <x:c r="D429" t="str">
        <x:v>Grocery</x:v>
      </x:c>
      <x:c r="E429" t="str">
        <x:v>NSW</x:v>
      </x:c>
      <x:c r="F429" s="11" t="n">
        <x:v>145286.09</x:v>
      </x:c>
      <x:c r="G429" s="13" t="n">
        <x:v>33624</x:v>
      </x:c>
      <x:c r="H429" s="11" t="n">
        <x:v>68721.72</x:v>
      </x:c>
      <x:c r="I429" s="11" t="n">
        <x:v>142408.65</x:v>
      </x:c>
    </x:row>
    <x:row r="430">
      <x:c r="A430" t="n">
        <x:v>2023</x:v>
      </x:c>
      <x:c r="B430" t="str">
        <x:v>2023-06</x:v>
      </x:c>
      <x:c r="C430" t="str">
        <x:v>Sports</x:v>
      </x:c>
      <x:c r="D430" t="str">
        <x:v>Grocery</x:v>
      </x:c>
      <x:c r="E430" t="str">
        <x:v>QLD</x:v>
      </x:c>
      <x:c r="F430" s="11" t="n">
        <x:v>138715.8</x:v>
      </x:c>
      <x:c r="G430" s="13" t="n">
        <x:v>31709</x:v>
      </x:c>
      <x:c r="H430" s="11" t="n">
        <x:v>65887.91</x:v>
      </x:c>
      <x:c r="I430" s="11" t="n">
        <x:v>136951.35</x:v>
      </x:c>
    </x:row>
    <x:row r="431">
      <x:c r="A431" t="n">
        <x:v>2023</x:v>
      </x:c>
      <x:c r="B431" t="str">
        <x:v>2023-06</x:v>
      </x:c>
      <x:c r="C431" t="str">
        <x:v>Sports</x:v>
      </x:c>
      <x:c r="D431" t="str">
        <x:v>Grocery</x:v>
      </x:c>
      <x:c r="E431" t="str">
        <x:v>VIC</x:v>
      </x:c>
      <x:c r="F431" s="11" t="n">
        <x:v>135471.21</x:v>
      </x:c>
      <x:c r="G431" s="13" t="n">
        <x:v>31010</x:v>
      </x:c>
      <x:c r="H431" s="11" t="n">
        <x:v>64930.72</x:v>
      </x:c>
      <x:c r="I431" s="11" t="n">
        <x:v>132829.07</x:v>
      </x:c>
    </x:row>
    <x:row r="432">
      <x:c r="A432" t="n">
        <x:v>2023</x:v>
      </x:c>
      <x:c r="B432" t="str">
        <x:v>2023-06</x:v>
      </x:c>
      <x:c r="C432" t="str">
        <x:v>Sports</x:v>
      </x:c>
      <x:c r="D432" t="str">
        <x:v>Hospitality</x:v>
      </x:c>
      <x:c r="E432" t="str">
        <x:v>NSW</x:v>
      </x:c>
      <x:c r="F432" s="11" t="n">
        <x:v>18333.29</x:v>
      </x:c>
      <x:c r="G432" s="13" t="n">
        <x:v>4515</x:v>
      </x:c>
      <x:c r="H432" s="11" t="n">
        <x:v>7973.32</x:v>
      </x:c>
      <x:c r="I432" s="11" t="n">
        <x:v>17815.7</x:v>
      </x:c>
    </x:row>
    <x:row r="433">
      <x:c r="A433" t="n">
        <x:v>2023</x:v>
      </x:c>
      <x:c r="B433" t="str">
        <x:v>2023-06</x:v>
      </x:c>
      <x:c r="C433" t="str">
        <x:v>Sports</x:v>
      </x:c>
      <x:c r="D433" t="str">
        <x:v>Hospitality</x:v>
      </x:c>
      <x:c r="E433" t="str">
        <x:v>QLD</x:v>
      </x:c>
      <x:c r="F433" s="11" t="n">
        <x:v>17969.29</x:v>
      </x:c>
      <x:c r="G433" s="13" t="n">
        <x:v>4590</x:v>
      </x:c>
      <x:c r="H433" s="11" t="n">
        <x:v>7453.44</x:v>
      </x:c>
      <x:c r="I433" s="11" t="n">
        <x:v>17127.92</x:v>
      </x:c>
    </x:row>
    <x:row r="434">
      <x:c r="A434" t="n">
        <x:v>2023</x:v>
      </x:c>
      <x:c r="B434" t="str">
        <x:v>2023-06</x:v>
      </x:c>
      <x:c r="C434" t="str">
        <x:v>Sports</x:v>
      </x:c>
      <x:c r="D434" t="str">
        <x:v>Hospitality</x:v>
      </x:c>
      <x:c r="E434" t="str">
        <x:v>VIC</x:v>
      </x:c>
      <x:c r="F434" s="11" t="n">
        <x:v>17186.04</x:v>
      </x:c>
      <x:c r="G434" s="13" t="n">
        <x:v>4249</x:v>
      </x:c>
      <x:c r="H434" s="11" t="n">
        <x:v>7392.15</x:v>
      </x:c>
      <x:c r="I434" s="11" t="n">
        <x:v>16609.38</x:v>
      </x:c>
    </x:row>
    <x:row r="435">
      <x:c r="A435" t="n">
        <x:v>2023</x:v>
      </x:c>
      <x:c r="B435" t="str">
        <x:v>2023-06</x:v>
      </x:c>
      <x:c r="C435" t="str">
        <x:v>Sports</x:v>
      </x:c>
      <x:c r="D435" t="str">
        <x:v>Independent retail</x:v>
      </x:c>
      <x:c r="E435" t="str">
        <x:v>NSW</x:v>
      </x:c>
      <x:c r="F435" s="11" t="n">
        <x:v>51177</x:v>
      </x:c>
      <x:c r="G435" s="13" t="n">
        <x:v>11962</x:v>
      </x:c>
      <x:c r="H435" s="11" t="n">
        <x:v>23824.38</x:v>
      </x:c>
      <x:c r="I435" s="11" t="n">
        <x:v>48433.64</x:v>
      </x:c>
    </x:row>
    <x:row r="436">
      <x:c r="A436" t="n">
        <x:v>2023</x:v>
      </x:c>
      <x:c r="B436" t="str">
        <x:v>2023-06</x:v>
      </x:c>
      <x:c r="C436" t="str">
        <x:v>Sports</x:v>
      </x:c>
      <x:c r="D436" t="str">
        <x:v>Independent retail</x:v>
      </x:c>
      <x:c r="E436" t="str">
        <x:v>QLD</x:v>
      </x:c>
      <x:c r="F436" s="11" t="n">
        <x:v>47635.75</x:v>
      </x:c>
      <x:c r="G436" s="13" t="n">
        <x:v>11247</x:v>
      </x:c>
      <x:c r="H436" s="11" t="n">
        <x:v>22100.33</x:v>
      </x:c>
      <x:c r="I436" s="11" t="n">
        <x:v>46562.909999999996</x:v>
      </x:c>
    </x:row>
    <x:row r="437">
      <x:c r="A437" t="n">
        <x:v>2023</x:v>
      </x:c>
      <x:c r="B437" t="str">
        <x:v>2023-06</x:v>
      </x:c>
      <x:c r="C437" t="str">
        <x:v>Sports</x:v>
      </x:c>
      <x:c r="D437" t="str">
        <x:v>Independent retail</x:v>
      </x:c>
      <x:c r="E437" t="str">
        <x:v>VIC</x:v>
      </x:c>
      <x:c r="F437" s="11" t="n">
        <x:v>46464.32</x:v>
      </x:c>
      <x:c r="G437" s="13" t="n">
        <x:v>10993</x:v>
      </x:c>
      <x:c r="H437" s="11" t="n">
        <x:v>21451.57</x:v>
      </x:c>
      <x:c r="I437" s="11" t="n">
        <x:v>45166.4</x:v>
      </x:c>
    </x:row>
    <x:row r="438">
      <x:c r="A438" t="n">
        <x:v>2023</x:v>
      </x:c>
      <x:c r="B438" t="str">
        <x:v>2023-06</x:v>
      </x:c>
      <x:c r="C438" t="str">
        <x:v>Sports</x:v>
      </x:c>
      <x:c r="D438" t="str">
        <x:v>Petrol</x:v>
      </x:c>
      <x:c r="E438" t="str">
        <x:v>NSW</x:v>
      </x:c>
      <x:c r="F438" s="11" t="n">
        <x:v>54221.67</x:v>
      </x:c>
      <x:c r="G438" s="13" t="n">
        <x:v>11805</x:v>
      </x:c>
      <x:c r="H438" s="11" t="n">
        <x:v>27481.57</x:v>
      </x:c>
      <x:c r="I438" s="11" t="n">
        <x:v>52467.01</x:v>
      </x:c>
    </x:row>
    <x:row r="439">
      <x:c r="A439" t="n">
        <x:v>2023</x:v>
      </x:c>
      <x:c r="B439" t="str">
        <x:v>2023-06</x:v>
      </x:c>
      <x:c r="C439" t="str">
        <x:v>Sports</x:v>
      </x:c>
      <x:c r="D439" t="str">
        <x:v>Petrol</x:v>
      </x:c>
      <x:c r="E439" t="str">
        <x:v>QLD</x:v>
      </x:c>
      <x:c r="F439" s="11" t="n">
        <x:v>49680.91</x:v>
      </x:c>
      <x:c r="G439" s="13" t="n">
        <x:v>10389</x:v>
      </x:c>
      <x:c r="H439" s="11" t="n">
        <x:v>26275.48</x:v>
      </x:c>
      <x:c r="I439" s="11" t="n">
        <x:v>50453.59</x:v>
      </x:c>
    </x:row>
    <x:row r="440">
      <x:c r="A440" t="n">
        <x:v>2023</x:v>
      </x:c>
      <x:c r="B440" t="str">
        <x:v>2023-06</x:v>
      </x:c>
      <x:c r="C440" t="str">
        <x:v>Sports</x:v>
      </x:c>
      <x:c r="D440" t="str">
        <x:v>Petrol</x:v>
      </x:c>
      <x:c r="E440" t="str">
        <x:v>VIC</x:v>
      </x:c>
      <x:c r="F440" s="11" t="n">
        <x:v>49896.8</x:v>
      </x:c>
      <x:c r="G440" s="13" t="n">
        <x:v>10566</x:v>
      </x:c>
      <x:c r="H440" s="11" t="n">
        <x:v>25903</x:v>
      </x:c>
      <x:c r="I440" s="11" t="n">
        <x:v>48953.37</x:v>
      </x:c>
    </x:row>
    <x:row r="441">
      <x:c r="A441" t="n">
        <x:v>2023</x:v>
      </x:c>
      <x:c r="B441" t="str">
        <x:v>2023-06</x:v>
      </x:c>
      <x:c r="C441" t="str">
        <x:v>Water</x:v>
      </x:c>
      <x:c r="D441" t="str">
        <x:v>Convenience</x:v>
      </x:c>
      <x:c r="E441" t="str">
        <x:v>NSW</x:v>
      </x:c>
      <x:c r="F441" s="11" t="n">
        <x:v>69564.98</x:v>
      </x:c>
      <x:c r="G441" s="13" t="n">
        <x:v>22985</x:v>
      </x:c>
      <x:c r="H441" s="11" t="n">
        <x:v>34040.1</x:v>
      </x:c>
      <x:c r="I441" s="11" t="n">
        <x:v>68336.09</x:v>
      </x:c>
    </x:row>
    <x:row r="442">
      <x:c r="A442" t="n">
        <x:v>2023</x:v>
      </x:c>
      <x:c r="B442" t="str">
        <x:v>2023-06</x:v>
      </x:c>
      <x:c r="C442" t="str">
        <x:v>Water</x:v>
      </x:c>
      <x:c r="D442" t="str">
        <x:v>Convenience</x:v>
      </x:c>
      <x:c r="E442" t="str">
        <x:v>QLD</x:v>
      </x:c>
      <x:c r="F442" s="11" t="n">
        <x:v>69251.62</x:v>
      </x:c>
      <x:c r="G442" s="13" t="n">
        <x:v>21623</x:v>
      </x:c>
      <x:c r="H442" s="11" t="n">
        <x:v>35129.42</x:v>
      </x:c>
      <x:c r="I442" s="11" t="n">
        <x:v>65704.56</x:v>
      </x:c>
    </x:row>
    <x:row r="443">
      <x:c r="A443" t="n">
        <x:v>2023</x:v>
      </x:c>
      <x:c r="B443" t="str">
        <x:v>2023-06</x:v>
      </x:c>
      <x:c r="C443" t="str">
        <x:v>Water</x:v>
      </x:c>
      <x:c r="D443" t="str">
        <x:v>Convenience</x:v>
      </x:c>
      <x:c r="E443" t="str">
        <x:v>VIC</x:v>
      </x:c>
      <x:c r="F443" s="11" t="n">
        <x:v>64978.85</x:v>
      </x:c>
      <x:c r="G443" s="13" t="n">
        <x:v>20722</x:v>
      </x:c>
      <x:c r="H443" s="11" t="n">
        <x:v>32498.57</x:v>
      </x:c>
      <x:c r="I443" s="11" t="n">
        <x:v>63745.62</x:v>
      </x:c>
    </x:row>
    <x:row r="444">
      <x:c r="A444" t="n">
        <x:v>2023</x:v>
      </x:c>
      <x:c r="B444" t="str">
        <x:v>2023-06</x:v>
      </x:c>
      <x:c r="C444" t="str">
        <x:v>Water</x:v>
      </x:c>
      <x:c r="D444" t="str">
        <x:v>Grocery</x:v>
      </x:c>
      <x:c r="E444" t="str">
        <x:v>NSW</x:v>
      </x:c>
      <x:c r="F444" s="11" t="n">
        <x:v>173820.93</x:v>
      </x:c>
      <x:c r="G444" s="13" t="n">
        <x:v>66024</x:v>
      </x:c>
      <x:c r="H444" s="11" t="n">
        <x:v>69873.01</x:v>
      </x:c>
      <x:c r="I444" s="11" t="n">
        <x:v>170533.76</x:v>
      </x:c>
    </x:row>
    <x:row r="445">
      <x:c r="A445" t="n">
        <x:v>2023</x:v>
      </x:c>
      <x:c r="B445" t="str">
        <x:v>2023-06</x:v>
      </x:c>
      <x:c r="C445" t="str">
        <x:v>Water</x:v>
      </x:c>
      <x:c r="D445" t="str">
        <x:v>Grocery</x:v>
      </x:c>
      <x:c r="E445" t="str">
        <x:v>QLD</x:v>
      </x:c>
      <x:c r="F445" s="11" t="n">
        <x:v>170472.16</x:v>
      </x:c>
      <x:c r="G445" s="13" t="n">
        <x:v>64012</x:v>
      </x:c>
      <x:c r="H445" s="11" t="n">
        <x:v>68423.12</x:v>
      </x:c>
      <x:c r="I445" s="11" t="n">
        <x:v>163972.49</x:v>
      </x:c>
    </x:row>
    <x:row r="446">
      <x:c r="A446" t="n">
        <x:v>2023</x:v>
      </x:c>
      <x:c r="B446" t="str">
        <x:v>2023-06</x:v>
      </x:c>
      <x:c r="C446" t="str">
        <x:v>Water</x:v>
      </x:c>
      <x:c r="D446" t="str">
        <x:v>Grocery</x:v>
      </x:c>
      <x:c r="E446" t="str">
        <x:v>VIC</x:v>
      </x:c>
      <x:c r="F446" s="11" t="n">
        <x:v>162086.83</x:v>
      </x:c>
      <x:c r="G446" s="13" t="n">
        <x:v>62547</x:v>
      </x:c>
      <x:c r="H446" s="11" t="n">
        <x:v>63768.99</x:v>
      </x:c>
      <x:c r="I446" s="11" t="n">
        <x:v>159038.18</x:v>
      </x:c>
    </x:row>
    <x:row r="447">
      <x:c r="A447" t="n">
        <x:v>2023</x:v>
      </x:c>
      <x:c r="B447" t="str">
        <x:v>2023-06</x:v>
      </x:c>
      <x:c r="C447" t="str">
        <x:v>Water</x:v>
      </x:c>
      <x:c r="D447" t="str">
        <x:v>Hospitality</x:v>
      </x:c>
      <x:c r="E447" t="str">
        <x:v>NSW</x:v>
      </x:c>
      <x:c r="F447" s="11" t="n">
        <x:v>22319.72</x:v>
      </x:c>
      <x:c r="G447" s="13" t="n">
        <x:v>9347</x:v>
      </x:c>
      <x:c r="H447" s="11" t="n">
        <x:v>7659.76</x:v>
      </x:c>
      <x:c r="I447" s="11" t="n">
        <x:v>21324.82</x:v>
      </x:c>
    </x:row>
    <x:row r="448">
      <x:c r="A448" t="n">
        <x:v>2023</x:v>
      </x:c>
      <x:c r="B448" t="str">
        <x:v>2023-06</x:v>
      </x:c>
      <x:c r="C448" t="str">
        <x:v>Water</x:v>
      </x:c>
      <x:c r="D448" t="str">
        <x:v>Hospitality</x:v>
      </x:c>
      <x:c r="E448" t="str">
        <x:v>QLD</x:v>
      </x:c>
      <x:c r="F448" s="11" t="n">
        <x:v>21177.420000000002</x:v>
      </x:c>
      <x:c r="G448" s="13" t="n">
        <x:v>8786</x:v>
      </x:c>
      <x:c r="H448" s="11" t="n">
        <x:v>7542.18</x:v>
      </x:c>
      <x:c r="I448" s="11" t="n">
        <x:v>20500.809999999998</x:v>
      </x:c>
    </x:row>
    <x:row r="449">
      <x:c r="A449" t="n">
        <x:v>2023</x:v>
      </x:c>
      <x:c r="B449" t="str">
        <x:v>2023-06</x:v>
      </x:c>
      <x:c r="C449" t="str">
        <x:v>Water</x:v>
      </x:c>
      <x:c r="D449" t="str">
        <x:v>Hospitality</x:v>
      </x:c>
      <x:c r="E449" t="str">
        <x:v>VIC</x:v>
      </x:c>
      <x:c r="F449" s="11" t="n">
        <x:v>19958.41</x:v>
      </x:c>
      <x:c r="G449" s="13" t="n">
        <x:v>8366</x:v>
      </x:c>
      <x:c r="H449" s="11" t="n">
        <x:v>6907.37</x:v>
      </x:c>
      <x:c r="I449" s="11" t="n">
        <x:v>19889.58</x:v>
      </x:c>
    </x:row>
    <x:row r="450">
      <x:c r="A450" t="n">
        <x:v>2023</x:v>
      </x:c>
      <x:c r="B450" t="str">
        <x:v>2023-06</x:v>
      </x:c>
      <x:c r="C450" t="str">
        <x:v>Water</x:v>
      </x:c>
      <x:c r="D450" t="str">
        <x:v>Independent retail</x:v>
      </x:c>
      <x:c r="E450" t="str">
        <x:v>NSW</x:v>
      </x:c>
      <x:c r="F450" s="11" t="n">
        <x:v>58728.49</x:v>
      </x:c>
      <x:c r="G450" s="13" t="n">
        <x:v>21240</x:v>
      </x:c>
      <x:c r="H450" s="11" t="n">
        <x:v>25699.53</x:v>
      </x:c>
      <x:c r="I450" s="11" t="n">
        <x:v>57963.42</x:v>
      </x:c>
    </x:row>
    <x:row r="451">
      <x:c r="A451" t="n">
        <x:v>2023</x:v>
      </x:c>
      <x:c r="B451" t="str">
        <x:v>2023-06</x:v>
      </x:c>
      <x:c r="C451" t="str">
        <x:v>Water</x:v>
      </x:c>
      <x:c r="D451" t="str">
        <x:v>Independent retail</x:v>
      </x:c>
      <x:c r="E451" t="str">
        <x:v>QLD</x:v>
      </x:c>
      <x:c r="F451" s="11" t="n">
        <x:v>55025.27</x:v>
      </x:c>
      <x:c r="G451" s="13" t="n">
        <x:v>19563</x:v>
      </x:c>
      <x:c r="H451" s="11" t="n">
        <x:v>24322.15</x:v>
      </x:c>
      <x:c r="I451" s="11" t="n">
        <x:v>55737.35</x:v>
      </x:c>
    </x:row>
    <x:row r="452">
      <x:c r="A452" t="n">
        <x:v>2023</x:v>
      </x:c>
      <x:c r="B452" t="str">
        <x:v>2023-06</x:v>
      </x:c>
      <x:c r="C452" t="str">
        <x:v>Water</x:v>
      </x:c>
      <x:c r="D452" t="str">
        <x:v>Independent retail</x:v>
      </x:c>
      <x:c r="E452" t="str">
        <x:v>VIC</x:v>
      </x:c>
      <x:c r="F452" s="11" t="n">
        <x:v>55297.74</x:v>
      </x:c>
      <x:c r="G452" s="13" t="n">
        <x:v>19459</x:v>
      </x:c>
      <x:c r="H452" s="11" t="n">
        <x:v>24631.46</x:v>
      </x:c>
      <x:c r="I452" s="11" t="n">
        <x:v>54066.96</x:v>
      </x:c>
    </x:row>
    <x:row r="453">
      <x:c r="A453" t="n">
        <x:v>2023</x:v>
      </x:c>
      <x:c r="B453" t="str">
        <x:v>2023-06</x:v>
      </x:c>
      <x:c r="C453" t="str">
        <x:v>Water</x:v>
      </x:c>
      <x:c r="D453" t="str">
        <x:v>Petrol</x:v>
      </x:c>
      <x:c r="E453" t="str">
        <x:v>NSW</x:v>
      </x:c>
      <x:c r="F453" s="11" t="n">
        <x:v>63184.92</x:v>
      </x:c>
      <x:c r="G453" s="13" t="n">
        <x:v>20447</x:v>
      </x:c>
      <x:c r="H453" s="11" t="n">
        <x:v>30823.28</x:v>
      </x:c>
      <x:c r="I453" s="11" t="n">
        <x:v>62422.26</x:v>
      </x:c>
    </x:row>
    <x:row r="454">
      <x:c r="A454" t="n">
        <x:v>2023</x:v>
      </x:c>
      <x:c r="B454" t="str">
        <x:v>2023-06</x:v>
      </x:c>
      <x:c r="C454" t="str">
        <x:v>Water</x:v>
      </x:c>
      <x:c r="D454" t="str">
        <x:v>Petrol</x:v>
      </x:c>
      <x:c r="E454" t="str">
        <x:v>QLD</x:v>
      </x:c>
      <x:c r="F454" s="11" t="n">
        <x:v>62885.45</x:v>
      </x:c>
      <x:c r="G454" s="13" t="n">
        <x:v>21475</x:v>
      </x:c>
      <x:c r="H454" s="11" t="n">
        <x:v>29315.41</x:v>
      </x:c>
      <x:c r="I454" s="11" t="n">
        <x:v>60021.409999999996</x:v>
      </x:c>
    </x:row>
    <x:row r="455">
      <x:c r="A455" t="n">
        <x:v>2023</x:v>
      </x:c>
      <x:c r="B455" t="str">
        <x:v>2023-06</x:v>
      </x:c>
      <x:c r="C455" t="str">
        <x:v>Water</x:v>
      </x:c>
      <x:c r="D455" t="str">
        <x:v>Petrol</x:v>
      </x:c>
      <x:c r="E455" t="str">
        <x:v>VIC</x:v>
      </x:c>
      <x:c r="F455" s="11" t="n">
        <x:v>60755.61</x:v>
      </x:c>
      <x:c r="G455" s="13" t="n">
        <x:v>20165</x:v>
      </x:c>
      <x:c r="H455" s="11" t="n">
        <x:v>28939.57</x:v>
      </x:c>
      <x:c r="I455" s="11" t="n">
        <x:v>58218.8</x:v>
      </x:c>
    </x:row>
    <x:row r="456">
      <x:c r="A456" t="n">
        <x:v>2023</x:v>
      </x:c>
      <x:c r="B456" t="str">
        <x:v>2023-07</x:v>
      </x:c>
      <x:c r="C456" t="str">
        <x:v>Coffee</x:v>
      </x:c>
      <x:c r="D456" t="str">
        <x:v>Convenience</x:v>
      </x:c>
      <x:c r="E456" t="str">
        <x:v>NSW</x:v>
      </x:c>
      <x:c r="F456" s="11" t="n">
        <x:v>23571.94</x:v>
      </x:c>
      <x:c r="G456" s="13" t="n">
        <x:v>4646</x:v>
      </x:c>
      <x:c r="H456" s="11" t="n">
        <x:v>10173.81</x:v>
      </x:c>
      <x:c r="I456" s="11" t="n">
        <x:v>23133.82</x:v>
      </x:c>
    </x:row>
    <x:row r="457">
      <x:c r="A457" t="n">
        <x:v>2023</x:v>
      </x:c>
      <x:c r="B457" t="str">
        <x:v>2023-07</x:v>
      </x:c>
      <x:c r="C457" t="str">
        <x:v>Coffee</x:v>
      </x:c>
      <x:c r="D457" t="str">
        <x:v>Convenience</x:v>
      </x:c>
      <x:c r="E457" t="str">
        <x:v>QLD</x:v>
      </x:c>
      <x:c r="F457" s="11" t="n">
        <x:v>21903.25</x:v>
      </x:c>
      <x:c r="G457" s="13" t="n">
        <x:v>4457</x:v>
      </x:c>
      <x:c r="H457" s="11" t="n">
        <x:v>9126.17</x:v>
      </x:c>
      <x:c r="I457" s="11" t="n">
        <x:v>22353.61</x:v>
      </x:c>
    </x:row>
    <x:row r="458">
      <x:c r="A458" t="n">
        <x:v>2023</x:v>
      </x:c>
      <x:c r="B458" t="str">
        <x:v>2023-07</x:v>
      </x:c>
      <x:c r="C458" t="str">
        <x:v>Coffee</x:v>
      </x:c>
      <x:c r="D458" t="str">
        <x:v>Convenience</x:v>
      </x:c>
      <x:c r="E458" t="str">
        <x:v>VIC</x:v>
      </x:c>
      <x:c r="F458" s="11" t="n">
        <x:v>21636.12</x:v>
      </x:c>
      <x:c r="G458" s="13" t="n">
        <x:v>4353</x:v>
      </x:c>
      <x:c r="H458" s="11" t="n">
        <x:v>9147.23</x:v>
      </x:c>
      <x:c r="I458" s="11" t="n">
        <x:v>21577.59</x:v>
      </x:c>
    </x:row>
    <x:row r="459">
      <x:c r="A459" t="n">
        <x:v>2023</x:v>
      </x:c>
      <x:c r="B459" t="str">
        <x:v>2023-07</x:v>
      </x:c>
      <x:c r="C459" t="str">
        <x:v>Coffee</x:v>
      </x:c>
      <x:c r="D459" t="str">
        <x:v>Grocery</x:v>
      </x:c>
      <x:c r="E459" t="str">
        <x:v>NSW</x:v>
      </x:c>
      <x:c r="F459" s="11" t="n">
        <x:v>58989.29</x:v>
      </x:c>
      <x:c r="G459" s="13" t="n">
        <x:v>13392</x:v>
      </x:c>
      <x:c r="H459" s="11" t="n">
        <x:v>21000.64</x:v>
      </x:c>
      <x:c r="I459" s="11" t="n">
        <x:v>57536.87</x:v>
      </x:c>
    </x:row>
    <x:row r="460">
      <x:c r="A460" t="n">
        <x:v>2023</x:v>
      </x:c>
      <x:c r="B460" t="str">
        <x:v>2023-07</x:v>
      </x:c>
      <x:c r="C460" t="str">
        <x:v>Coffee</x:v>
      </x:c>
      <x:c r="D460" t="str">
        <x:v>Grocery</x:v>
      </x:c>
      <x:c r="E460" t="str">
        <x:v>QLD</x:v>
      </x:c>
      <x:c r="F460" s="11" t="n">
        <x:v>55405.36</x:v>
      </x:c>
      <x:c r="G460" s="13" t="n">
        <x:v>12319</x:v>
      </x:c>
      <x:c r="H460" s="11" t="n">
        <x:v>20118.21</x:v>
      </x:c>
      <x:c r="I460" s="11" t="n">
        <x:v>55407.729999999996</x:v>
      </x:c>
    </x:row>
    <x:row r="461">
      <x:c r="A461" t="n">
        <x:v>2023</x:v>
      </x:c>
      <x:c r="B461" t="str">
        <x:v>2023-07</x:v>
      </x:c>
      <x:c r="C461" t="str">
        <x:v>Coffee</x:v>
      </x:c>
      <x:c r="D461" t="str">
        <x:v>Grocery</x:v>
      </x:c>
      <x:c r="E461" t="str">
        <x:v>VIC</x:v>
      </x:c>
      <x:c r="F461" s="11" t="n">
        <x:v>54443.33</x:v>
      </x:c>
      <x:c r="G461" s="13" t="n">
        <x:v>12105</x:v>
      </x:c>
      <x:c r="H461" s="11" t="n">
        <x:v>19915.87</x:v>
      </x:c>
      <x:c r="I461" s="11" t="n">
        <x:v>53779.14</x:v>
      </x:c>
    </x:row>
    <x:row r="462">
      <x:c r="A462" t="n">
        <x:v>2023</x:v>
      </x:c>
      <x:c r="B462" t="str">
        <x:v>2023-07</x:v>
      </x:c>
      <x:c r="C462" t="str">
        <x:v>Coffee</x:v>
      </x:c>
      <x:c r="D462" t="str">
        <x:v>Hospitality</x:v>
      </x:c>
      <x:c r="E462" t="str">
        <x:v>NSW</x:v>
      </x:c>
      <x:c r="F462" s="11" t="n">
        <x:v>7443.87</x:v>
      </x:c>
      <x:c r="G462" s="13" t="n">
        <x:v>1793</x:v>
      </x:c>
      <x:c r="H462" s="11" t="n">
        <x:v>2318.02</x:v>
      </x:c>
      <x:c r="I462" s="11" t="n">
        <x:v>7311.04</x:v>
      </x:c>
    </x:row>
    <x:row r="463">
      <x:c r="A463" t="n">
        <x:v>2023</x:v>
      </x:c>
      <x:c r="B463" t="str">
        <x:v>2023-07</x:v>
      </x:c>
      <x:c r="C463" t="str">
        <x:v>Coffee</x:v>
      </x:c>
      <x:c r="D463" t="str">
        <x:v>Hospitality</x:v>
      </x:c>
      <x:c r="E463" t="str">
        <x:v>QLD</x:v>
      </x:c>
      <x:c r="F463" s="11" t="n">
        <x:v>6910.13</x:v>
      </x:c>
      <x:c r="G463" s="13" t="n">
        <x:v>1714</x:v>
      </x:c>
      <x:c r="H463" s="11" t="n">
        <x:v>1993.52</x:v>
      </x:c>
      <x:c r="I463" s="11" t="n">
        <x:v>6917.65</x:v>
      </x:c>
    </x:row>
    <x:row r="464">
      <x:c r="A464" t="n">
        <x:v>2023</x:v>
      </x:c>
      <x:c r="B464" t="str">
        <x:v>2023-07</x:v>
      </x:c>
      <x:c r="C464" t="str">
        <x:v>Coffee</x:v>
      </x:c>
      <x:c r="D464" t="str">
        <x:v>Hospitality</x:v>
      </x:c>
      <x:c r="E464" t="str">
        <x:v>VIC</x:v>
      </x:c>
      <x:c r="F464" s="11" t="n">
        <x:v>6990.18</x:v>
      </x:c>
      <x:c r="G464" s="13" t="n">
        <x:v>1697</x:v>
      </x:c>
      <x:c r="H464" s="11" t="n">
        <x:v>2138.2</x:v>
      </x:c>
      <x:c r="I464" s="11" t="n">
        <x:v>6735.0199999999995</x:v>
      </x:c>
    </x:row>
    <x:row r="465">
      <x:c r="A465" t="n">
        <x:v>2023</x:v>
      </x:c>
      <x:c r="B465" t="str">
        <x:v>2023-07</x:v>
      </x:c>
      <x:c r="C465" t="str">
        <x:v>Coffee</x:v>
      </x:c>
      <x:c r="D465" t="str">
        <x:v>Independent retail</x:v>
      </x:c>
      <x:c r="E465" t="str">
        <x:v>NSW</x:v>
      </x:c>
      <x:c r="F465" s="11" t="n">
        <x:v>19585.99</x:v>
      </x:c>
      <x:c r="G465" s="13" t="n">
        <x:v>4460</x:v>
      </x:c>
      <x:c r="H465" s="11" t="n">
        <x:v>6846.14</x:v>
      </x:c>
      <x:c r="I465" s="11" t="n">
        <x:v>19611.53</x:v>
      </x:c>
    </x:row>
    <x:row r="466">
      <x:c r="A466" t="n">
        <x:v>2023</x:v>
      </x:c>
      <x:c r="B466" t="str">
        <x:v>2023-07</x:v>
      </x:c>
      <x:c r="C466" t="str">
        <x:v>Coffee</x:v>
      </x:c>
      <x:c r="D466" t="str">
        <x:v>Independent retail</x:v>
      </x:c>
      <x:c r="E466" t="str">
        <x:v>QLD</x:v>
      </x:c>
      <x:c r="F466" s="11" t="n">
        <x:v>18550.04</x:v>
      </x:c>
      <x:c r="G466" s="13" t="n">
        <x:v>4281</x:v>
      </x:c>
      <x:c r="H466" s="11" t="n">
        <x:v>6332.29</x:v>
      </x:c>
      <x:c r="I466" s="11" t="n">
        <x:v>18776.34</x:v>
      </x:c>
    </x:row>
    <x:row r="467">
      <x:c r="A467" t="n">
        <x:v>2023</x:v>
      </x:c>
      <x:c r="B467" t="str">
        <x:v>2023-07</x:v>
      </x:c>
      <x:c r="C467" t="str">
        <x:v>Coffee</x:v>
      </x:c>
      <x:c r="D467" t="str">
        <x:v>Independent retail</x:v>
      </x:c>
      <x:c r="E467" t="str">
        <x:v>VIC</x:v>
      </x:c>
      <x:c r="F467" s="11" t="n">
        <x:v>17657.17</x:v>
      </x:c>
      <x:c r="G467" s="13" t="n">
        <x:v>4034</x:v>
      </x:c>
      <x:c r="H467" s="11" t="n">
        <x:v>6068.03</x:v>
      </x:c>
      <x:c r="I467" s="11" t="n">
        <x:v>18218.37</x:v>
      </x:c>
    </x:row>
    <x:row r="468">
      <x:c r="A468" t="n">
        <x:v>2023</x:v>
      </x:c>
      <x:c r="B468" t="str">
        <x:v>2023-07</x:v>
      </x:c>
      <x:c r="C468" t="str">
        <x:v>Coffee</x:v>
      </x:c>
      <x:c r="D468" t="str">
        <x:v>Petrol</x:v>
      </x:c>
      <x:c r="E468" t="str">
        <x:v>NSW</x:v>
      </x:c>
      <x:c r="F468" s="11" t="n">
        <x:v>21142.44</x:v>
      </x:c>
      <x:c r="G468" s="13" t="n">
        <x:v>4518</x:v>
      </x:c>
      <x:c r="H468" s="11" t="n">
        <x:v>8366.29</x:v>
      </x:c>
      <x:c r="I468" s="11" t="n">
        <x:v>21101.88</x:v>
      </x:c>
    </x:row>
    <x:row r="469">
      <x:c r="A469" t="n">
        <x:v>2023</x:v>
      </x:c>
      <x:c r="B469" t="str">
        <x:v>2023-07</x:v>
      </x:c>
      <x:c r="C469" t="str">
        <x:v>Coffee</x:v>
      </x:c>
      <x:c r="D469" t="str">
        <x:v>Petrol</x:v>
      </x:c>
      <x:c r="E469" t="str">
        <x:v>QLD</x:v>
      </x:c>
      <x:c r="F469" s="11" t="n">
        <x:v>20804.96</x:v>
      </x:c>
      <x:c r="G469" s="13" t="n">
        <x:v>4204</x:v>
      </x:c>
      <x:c r="H469" s="11" t="n">
        <x:v>8858.68</x:v>
      </x:c>
      <x:c r="I469" s="11" t="n">
        <x:v>20195.690000000002</x:v>
      </x:c>
    </x:row>
    <x:row r="470">
      <x:c r="A470" t="n">
        <x:v>2023</x:v>
      </x:c>
      <x:c r="B470" t="str">
        <x:v>2023-07</x:v>
      </x:c>
      <x:c r="C470" t="str">
        <x:v>Coffee</x:v>
      </x:c>
      <x:c r="D470" t="str">
        <x:v>Petrol</x:v>
      </x:c>
      <x:c r="E470" t="str">
        <x:v>VIC</x:v>
      </x:c>
      <x:c r="F470" s="11" t="n">
        <x:v>19829.84</x:v>
      </x:c>
      <x:c r="G470" s="13" t="n">
        <x:v>4103</x:v>
      </x:c>
      <x:c r="H470" s="11" t="n">
        <x:v>8167.5599999999995</x:v>
      </x:c>
      <x:c r="I470" s="11" t="n">
        <x:v>19633.88</x:v>
      </x:c>
    </x:row>
    <x:row r="471">
      <x:c r="A471" t="n">
        <x:v>2023</x:v>
      </x:c>
      <x:c r="B471" t="str">
        <x:v>2023-07</x:v>
      </x:c>
      <x:c r="C471" t="str">
        <x:v>Energy</x:v>
      </x:c>
      <x:c r="D471" t="str">
        <x:v>Convenience</x:v>
      </x:c>
      <x:c r="E471" t="str">
        <x:v>NSW</x:v>
      </x:c>
      <x:c r="F471" s="11" t="n">
        <x:v>56830.78</x:v>
      </x:c>
      <x:c r="G471" s="13" t="n">
        <x:v>10990</x:v>
      </x:c>
      <x:c r="H471" s="11" t="n">
        <x:v>33637.98</x:v>
      </x:c>
      <x:c r="I471" s="11" t="n">
        <x:v>85350.65</x:v>
      </x:c>
    </x:row>
    <x:row r="472">
      <x:c r="A472" t="n">
        <x:v>2023</x:v>
      </x:c>
      <x:c r="B472" t="str">
        <x:v>2023-07</x:v>
      </x:c>
      <x:c r="C472" t="str">
        <x:v>Energy</x:v>
      </x:c>
      <x:c r="D472" t="str">
        <x:v>Convenience</x:v>
      </x:c>
      <x:c r="E472" t="str">
        <x:v>QLD</x:v>
      </x:c>
      <x:c r="F472" s="11" t="n">
        <x:v>53756.590000000004</x:v>
      </x:c>
      <x:c r="G472" s="13" t="n">
        <x:v>10302</x:v>
      </x:c>
      <x:c r="H472" s="11" t="n">
        <x:v>32515.99</x:v>
      </x:c>
      <x:c r="I472" s="11" t="n">
        <x:v>82146.13</x:v>
      </x:c>
    </x:row>
    <x:row r="473">
      <x:c r="A473" t="n">
        <x:v>2023</x:v>
      </x:c>
      <x:c r="B473" t="str">
        <x:v>2023-07</x:v>
      </x:c>
      <x:c r="C473" t="str">
        <x:v>Energy</x:v>
      </x:c>
      <x:c r="D473" t="str">
        <x:v>Convenience</x:v>
      </x:c>
      <x:c r="E473" t="str">
        <x:v>VIC</x:v>
      </x:c>
      <x:c r="F473" s="11" t="n">
        <x:v>54096.53</x:v>
      </x:c>
      <x:c r="G473" s="13" t="n">
        <x:v>10404</x:v>
      </x:c>
      <x:c r="H473" s="11" t="n">
        <x:v>32444.61</x:v>
      </x:c>
      <x:c r="I473" s="11" t="n">
        <x:v>79561.56</x:v>
      </x:c>
    </x:row>
    <x:row r="474">
      <x:c r="A474" t="n">
        <x:v>2023</x:v>
      </x:c>
      <x:c r="B474" t="str">
        <x:v>2023-07</x:v>
      </x:c>
      <x:c r="C474" t="str">
        <x:v>Energy</x:v>
      </x:c>
      <x:c r="D474" t="str">
        <x:v>Grocery</x:v>
      </x:c>
      <x:c r="E474" t="str">
        <x:v>NSW</x:v>
      </x:c>
      <x:c r="F474" s="11" t="n">
        <x:v>223576.44</x:v>
      </x:c>
      <x:c r="G474" s="13" t="n">
        <x:v>47731</x:v>
      </x:c>
      <x:c r="H474" s="11" t="n">
        <x:v>120929.64</x:v>
      </x:c>
      <x:c r="I474" s="11" t="n">
        <x:v>212632.88</x:v>
      </x:c>
    </x:row>
    <x:row r="475">
      <x:c r="A475" t="n">
        <x:v>2023</x:v>
      </x:c>
      <x:c r="B475" t="str">
        <x:v>2023-07</x:v>
      </x:c>
      <x:c r="C475" t="str">
        <x:v>Energy</x:v>
      </x:c>
      <x:c r="D475" t="str">
        <x:v>Grocery</x:v>
      </x:c>
      <x:c r="E475" t="str">
        <x:v>QLD</x:v>
      </x:c>
      <x:c r="F475" s="11" t="n">
        <x:v>212933.95</x:v>
      </x:c>
      <x:c r="G475" s="13" t="n">
        <x:v>46661</x:v>
      </x:c>
      <x:c r="H475" s="11" t="n">
        <x:v>112858.79</x:v>
      </x:c>
      <x:c r="I475" s="11" t="n">
        <x:v>204481.86000000002</x:v>
      </x:c>
    </x:row>
    <x:row r="476">
      <x:c r="A476" t="n">
        <x:v>2023</x:v>
      </x:c>
      <x:c r="B476" t="str">
        <x:v>2023-07</x:v>
      </x:c>
      <x:c r="C476" t="str">
        <x:v>Energy</x:v>
      </x:c>
      <x:c r="D476" t="str">
        <x:v>Grocery</x:v>
      </x:c>
      <x:c r="E476" t="str">
        <x:v>VIC</x:v>
      </x:c>
      <x:c r="F476" s="11" t="n">
        <x:v>212715.29</x:v>
      </x:c>
      <x:c r="G476" s="13" t="n">
        <x:v>45930</x:v>
      </x:c>
      <x:c r="H476" s="11" t="n">
        <x:v>113854.21</x:v>
      </x:c>
      <x:c r="I476" s="11" t="n">
        <x:v>198300.87</x:v>
      </x:c>
    </x:row>
    <x:row r="477">
      <x:c r="A477" t="n">
        <x:v>2023</x:v>
      </x:c>
      <x:c r="B477" t="str">
        <x:v>2023-07</x:v>
      </x:c>
      <x:c r="C477" t="str">
        <x:v>Energy</x:v>
      </x:c>
      <x:c r="D477" t="str">
        <x:v>Hospitality</x:v>
      </x:c>
      <x:c r="E477" t="str">
        <x:v>NSW</x:v>
      </x:c>
      <x:c r="F477" s="11" t="n">
        <x:v>27878.94</x:v>
      </x:c>
      <x:c r="G477" s="13" t="n">
        <x:v>6496</x:v>
      </x:c>
      <x:c r="H477" s="11" t="n">
        <x:v>13804.42</x:v>
      </x:c>
      <x:c r="I477" s="11" t="n">
        <x:v>26600.559999999998</x:v>
      </x:c>
    </x:row>
    <x:row r="478">
      <x:c r="A478" t="n">
        <x:v>2023</x:v>
      </x:c>
      <x:c r="B478" t="str">
        <x:v>2023-07</x:v>
      </x:c>
      <x:c r="C478" t="str">
        <x:v>Energy</x:v>
      </x:c>
      <x:c r="D478" t="str">
        <x:v>Hospitality</x:v>
      </x:c>
      <x:c r="E478" t="str">
        <x:v>QLD</x:v>
      </x:c>
      <x:c r="F478" s="11" t="n">
        <x:v>26902.72</x:v>
      </x:c>
      <x:c r="G478" s="13" t="n">
        <x:v>6446</x:v>
      </x:c>
      <x:c r="H478" s="11" t="n">
        <x:v>13098.52</x:v>
      </x:c>
      <x:c r="I478" s="11" t="n">
        <x:v>25679.019999999997</x:v>
      </x:c>
    </x:row>
    <x:row r="479">
      <x:c r="A479" t="n">
        <x:v>2023</x:v>
      </x:c>
      <x:c r="B479" t="str">
        <x:v>2023-07</x:v>
      </x:c>
      <x:c r="C479" t="str">
        <x:v>Energy</x:v>
      </x:c>
      <x:c r="D479" t="str">
        <x:v>Hospitality</x:v>
      </x:c>
      <x:c r="E479" t="str">
        <x:v>VIC</x:v>
      </x:c>
      <x:c r="F479" s="11" t="n">
        <x:v>26189.96</x:v>
      </x:c>
      <x:c r="G479" s="13" t="n">
        <x:v>6234</x:v>
      </x:c>
      <x:c r="H479" s="11" t="n">
        <x:v>12860.32</x:v>
      </x:c>
      <x:c r="I479" s="11" t="n">
        <x:v>24973.37</x:v>
      </x:c>
    </x:row>
    <x:row r="480">
      <x:c r="A480" t="n">
        <x:v>2023</x:v>
      </x:c>
      <x:c r="B480" t="str">
        <x:v>2023-07</x:v>
      </x:c>
      <x:c r="C480" t="str">
        <x:v>Energy</x:v>
      </x:c>
      <x:c r="D480" t="str">
        <x:v>Independent retail</x:v>
      </x:c>
      <x:c r="E480" t="str">
        <x:v>NSW</x:v>
      </x:c>
      <x:c r="F480" s="11" t="n">
        <x:v>73575.91</x:v>
      </x:c>
      <x:c r="G480" s="13" t="n">
        <x:v>15890</x:v>
      </x:c>
      <x:c r="H480" s="11" t="n">
        <x:v>40517.15</x:v>
      </x:c>
      <x:c r="I480" s="11" t="n">
        <x:v>72200.59</x:v>
      </x:c>
    </x:row>
    <x:row r="481">
      <x:c r="A481" t="n">
        <x:v>2023</x:v>
      </x:c>
      <x:c r="B481" t="str">
        <x:v>2023-07</x:v>
      </x:c>
      <x:c r="C481" t="str">
        <x:v>Energy</x:v>
      </x:c>
      <x:c r="D481" t="str">
        <x:v>Independent retail</x:v>
      </x:c>
      <x:c r="E481" t="str">
        <x:v>QLD</x:v>
      </x:c>
      <x:c r="F481" s="11" t="n">
        <x:v>71574.11</x:v>
      </x:c>
      <x:c r="G481" s="13" t="n">
        <x:v>14959</x:v>
      </x:c>
      <x:c r="H481" s="11" t="n">
        <x:v>40118.79</x:v>
      </x:c>
      <x:c r="I481" s="11" t="n">
        <x:v>69528.04</x:v>
      </x:c>
    </x:row>
    <x:row r="482">
      <x:c r="A482" t="n">
        <x:v>2023</x:v>
      </x:c>
      <x:c r="B482" t="str">
        <x:v>2023-07</x:v>
      </x:c>
      <x:c r="C482" t="str">
        <x:v>Energy</x:v>
      </x:c>
      <x:c r="D482" t="str">
        <x:v>Independent retail</x:v>
      </x:c>
      <x:c r="E482" t="str">
        <x:v>VIC</x:v>
      </x:c>
      <x:c r="F482" s="11" t="n">
        <x:v>70437.53</x:v>
      </x:c>
      <x:c r="G482" s="13" t="n">
        <x:v>15015</x:v>
      </x:c>
      <x:c r="H482" s="11" t="n">
        <x:v>39243.05</x:v>
      </x:c>
      <x:c r="I482" s="11" t="n">
        <x:v>67483.40000000001</x:v>
      </x:c>
    </x:row>
    <x:row r="483">
      <x:c r="A483" t="n">
        <x:v>2023</x:v>
      </x:c>
      <x:c r="B483" t="str">
        <x:v>2023-07</x:v>
      </x:c>
      <x:c r="C483" t="str">
        <x:v>Energy</x:v>
      </x:c>
      <x:c r="D483" t="str">
        <x:v>Petrol</x:v>
      </x:c>
      <x:c r="E483" t="str">
        <x:v>NSW</x:v>
      </x:c>
      <x:c r="F483" s="11" t="n">
        <x:v>79990.3</x:v>
      </x:c>
      <x:c r="G483" s="13" t="n">
        <x:v>15429</x:v>
      </x:c>
      <x:c r="H483" s="11" t="n">
        <x:v>47686.98</x:v>
      </x:c>
      <x:c r="I483" s="11" t="n">
        <x:v>77831.02</x:v>
      </x:c>
    </x:row>
    <x:row r="484">
      <x:c r="A484" t="n">
        <x:v>2023</x:v>
      </x:c>
      <x:c r="B484" t="str">
        <x:v>2023-07</x:v>
      </x:c>
      <x:c r="C484" t="str">
        <x:v>Energy</x:v>
      </x:c>
      <x:c r="D484" t="str">
        <x:v>Petrol</x:v>
      </x:c>
      <x:c r="E484" t="str">
        <x:v>QLD</x:v>
      </x:c>
      <x:c r="F484" s="11" t="n">
        <x:v>77245.47</x:v>
      </x:c>
      <x:c r="G484" s="13" t="n">
        <x:v>14755</x:v>
      </x:c>
      <x:c r="H484" s="11" t="n">
        <x:v>45553.95</x:v>
      </x:c>
      <x:c r="I484" s="11" t="n">
        <x:v>74832.51</x:v>
      </x:c>
    </x:row>
    <x:row r="485">
      <x:c r="A485" t="n">
        <x:v>2023</x:v>
      </x:c>
      <x:c r="B485" t="str">
        <x:v>2023-07</x:v>
      </x:c>
      <x:c r="C485" t="str">
        <x:v>Energy</x:v>
      </x:c>
      <x:c r="D485" t="str">
        <x:v>Petrol</x:v>
      </x:c>
      <x:c r="E485" t="str">
        <x:v>VIC</x:v>
      </x:c>
      <x:c r="F485" s="11" t="n">
        <x:v>75398.04</x:v>
      </x:c>
      <x:c r="G485" s="13" t="n">
        <x:v>14456</x:v>
      </x:c>
      <x:c r="H485" s="11" t="n">
        <x:v>45011.52</x:v>
      </x:c>
      <x:c r="I485" s="11" t="n">
        <x:v>72522.8</x:v>
      </x:c>
    </x:row>
    <x:row r="486">
      <x:c r="A486" t="n">
        <x:v>2023</x:v>
      </x:c>
      <x:c r="B486" t="str">
        <x:v>2023-07</x:v>
      </x:c>
      <x:c r="C486" t="str">
        <x:v>Sparkling</x:v>
      </x:c>
      <x:c r="D486" t="str">
        <x:v>Convenience</x:v>
      </x:c>
      <x:c r="E486" t="str">
        <x:v>NSW</x:v>
      </x:c>
      <x:c r="F486" s="11" t="n">
        <x:v>106867.85</x:v>
      </x:c>
      <x:c r="G486" s="13" t="n">
        <x:v>26684</x:v>
      </x:c>
      <x:c r="H486" s="11" t="n">
        <x:v>59519.19</x:v>
      </x:c>
      <x:c r="I486" s="11" t="n">
        <x:v>103824.56</x:v>
      </x:c>
    </x:row>
    <x:row r="487">
      <x:c r="A487" t="n">
        <x:v>2023</x:v>
      </x:c>
      <x:c r="B487" t="str">
        <x:v>2023-07</x:v>
      </x:c>
      <x:c r="C487" t="str">
        <x:v>Sparkling</x:v>
      </x:c>
      <x:c r="D487" t="str">
        <x:v>Convenience</x:v>
      </x:c>
      <x:c r="E487" t="str">
        <x:v>QLD</x:v>
      </x:c>
      <x:c r="F487" s="11" t="n">
        <x:v>100979.89</x:v>
      </x:c>
      <x:c r="G487" s="13" t="n">
        <x:v>25024</x:v>
      </x:c>
      <x:c r="H487" s="11" t="n">
        <x:v>56606.23</x:v>
      </x:c>
      <x:c r="I487" s="11" t="n">
        <x:v>99838.27</x:v>
      </x:c>
    </x:row>
    <x:row r="488">
      <x:c r="A488" t="n">
        <x:v>2023</x:v>
      </x:c>
      <x:c r="B488" t="str">
        <x:v>2023-07</x:v>
      </x:c>
      <x:c r="C488" t="str">
        <x:v>Sparkling</x:v>
      </x:c>
      <x:c r="D488" t="str">
        <x:v>Convenience</x:v>
      </x:c>
      <x:c r="E488" t="str">
        <x:v>VIC</x:v>
      </x:c>
      <x:c r="F488" s="11" t="n">
        <x:v>99641.75</x:v>
      </x:c>
      <x:c r="G488" s="13" t="n">
        <x:v>24541</x:v>
      </x:c>
      <x:c r="H488" s="11" t="n">
        <x:v>55741.53</x:v>
      </x:c>
      <x:c r="I488" s="11" t="n">
        <x:v>96861.36</x:v>
      </x:c>
    </x:row>
    <x:row r="489">
      <x:c r="A489" t="n">
        <x:v>2023</x:v>
      </x:c>
      <x:c r="B489" t="str">
        <x:v>2023-07</x:v>
      </x:c>
      <x:c r="C489" t="str">
        <x:v>Sparkling</x:v>
      </x:c>
      <x:c r="D489" t="str">
        <x:v>Grocery</x:v>
      </x:c>
      <x:c r="E489" t="str">
        <x:v>NSW</x:v>
      </x:c>
      <x:c r="F489" s="11" t="n">
        <x:v>263356.85</x:v>
      </x:c>
      <x:c r="G489" s="13" t="n">
        <x:v>77269</x:v>
      </x:c>
      <x:c r="H489" s="11" t="n">
        <x:v>124939.41</x:v>
      </x:c>
      <x:c r="I489" s="11" t="n">
        <x:v>258232.1</x:v>
      </x:c>
    </x:row>
    <x:row r="490">
      <x:c r="A490" t="n">
        <x:v>2023</x:v>
      </x:c>
      <x:c r="B490" t="str">
        <x:v>2023-07</x:v>
      </x:c>
      <x:c r="C490" t="str">
        <x:v>Sparkling</x:v>
      </x:c>
      <x:c r="D490" t="str">
        <x:v>Grocery</x:v>
      </x:c>
      <x:c r="E490" t="str">
        <x:v>QLD</x:v>
      </x:c>
      <x:c r="F490" s="11" t="n">
        <x:v>255049.9</x:v>
      </x:c>
      <x:c r="G490" s="13" t="n">
        <x:v>74292</x:v>
      </x:c>
      <x:c r="H490" s="11" t="n">
        <x:v>121909.94</x:v>
      </x:c>
      <x:c r="I490" s="11" t="n">
        <x:v>248350.97</x:v>
      </x:c>
    </x:row>
    <x:row r="491">
      <x:c r="A491" t="n">
        <x:v>2023</x:v>
      </x:c>
      <x:c r="B491" t="str">
        <x:v>2023-07</x:v>
      </x:c>
      <x:c r="C491" t="str">
        <x:v>Sparkling</x:v>
      </x:c>
      <x:c r="D491" t="str">
        <x:v>Grocery</x:v>
      </x:c>
      <x:c r="E491" t="str">
        <x:v>VIC</x:v>
      </x:c>
      <x:c r="F491" s="11" t="n">
        <x:v>249993.87</x:v>
      </x:c>
      <x:c r="G491" s="13" t="n">
        <x:v>73982</x:v>
      </x:c>
      <x:c r="H491" s="11" t="n">
        <x:v>118372.21</x:v>
      </x:c>
      <x:c r="I491" s="11" t="n">
        <x:v>240840.18</x:v>
      </x:c>
    </x:row>
    <x:row r="492">
      <x:c r="A492" t="n">
        <x:v>2023</x:v>
      </x:c>
      <x:c r="B492" t="str">
        <x:v>2023-07</x:v>
      </x:c>
      <x:c r="C492" t="str">
        <x:v>Sparkling</x:v>
      </x:c>
      <x:c r="D492" t="str">
        <x:v>Hospitality</x:v>
      </x:c>
      <x:c r="E492" t="str">
        <x:v>NSW</x:v>
      </x:c>
      <x:c r="F492" s="11" t="n">
        <x:v>33862.38</x:v>
      </x:c>
      <x:c r="G492" s="13" t="n">
        <x:v>10794</x:v>
      </x:c>
      <x:c r="H492" s="11" t="n">
        <x:v>14562.18</x:v>
      </x:c>
      <x:c r="I492" s="11" t="n">
        <x:v>32272.66</x:v>
      </x:c>
    </x:row>
    <x:row r="493">
      <x:c r="A493" t="n">
        <x:v>2023</x:v>
      </x:c>
      <x:c r="B493" t="str">
        <x:v>2023-07</x:v>
      </x:c>
      <x:c r="C493" t="str">
        <x:v>Sparkling</x:v>
      </x:c>
      <x:c r="D493" t="str">
        <x:v>Hospitality</x:v>
      </x:c>
      <x:c r="E493" t="str">
        <x:v>QLD</x:v>
      </x:c>
      <x:c r="F493" s="11" t="n">
        <x:v>32587.8</x:v>
      </x:c>
      <x:c r="G493" s="13" t="n">
        <x:v>10204</x:v>
      </x:c>
      <x:c r="H493" s="11" t="n">
        <x:v>14326.36</x:v>
      </x:c>
      <x:c r="I493" s="11" t="n">
        <x:v>31079.760000000002</x:v>
      </x:c>
    </x:row>
    <x:row r="494">
      <x:c r="A494" t="n">
        <x:v>2023</x:v>
      </x:c>
      <x:c r="B494" t="str">
        <x:v>2023-07</x:v>
      </x:c>
      <x:c r="C494" t="str">
        <x:v>Sparkling</x:v>
      </x:c>
      <x:c r="D494" t="str">
        <x:v>Hospitality</x:v>
      </x:c>
      <x:c r="E494" t="str">
        <x:v>VIC</x:v>
      </x:c>
      <x:c r="F494" s="11" t="n">
        <x:v>31383.39</x:v>
      </x:c>
      <x:c r="G494" s="13" t="n">
        <x:v>10074</x:v>
      </x:c>
      <x:c r="H494" s="11" t="n">
        <x:v>13531.31</x:v>
      </x:c>
      <x:c r="I494" s="11" t="n">
        <x:v>30226.73</x:v>
      </x:c>
    </x:row>
    <x:row r="495">
      <x:c r="A495" t="n">
        <x:v>2023</x:v>
      </x:c>
      <x:c r="B495" t="str">
        <x:v>2023-07</x:v>
      </x:c>
      <x:c r="C495" t="str">
        <x:v>Sparkling</x:v>
      </x:c>
      <x:c r="D495" t="str">
        <x:v>Independent retail</x:v>
      </x:c>
      <x:c r="E495" t="str">
        <x:v>NSW</x:v>
      </x:c>
      <x:c r="F495" s="11" t="n">
        <x:v>90585.87</x:v>
      </x:c>
      <x:c r="G495" s="13" t="n">
        <x:v>25021</x:v>
      </x:c>
      <x:c r="H495" s="11" t="n">
        <x:v>45710.97</x:v>
      </x:c>
      <x:c r="I495" s="11" t="n">
        <x:v>87812.84</x:v>
      </x:c>
    </x:row>
    <x:row r="496">
      <x:c r="A496" t="n">
        <x:v>2023</x:v>
      </x:c>
      <x:c r="B496" t="str">
        <x:v>2023-07</x:v>
      </x:c>
      <x:c r="C496" t="str">
        <x:v>Sparkling</x:v>
      </x:c>
      <x:c r="D496" t="str">
        <x:v>Independent retail</x:v>
      </x:c>
      <x:c r="E496" t="str">
        <x:v>QLD</x:v>
      </x:c>
      <x:c r="F496" s="11" t="n">
        <x:v>86439.37</x:v>
      </x:c>
      <x:c r="G496" s="13" t="n">
        <x:v>24074</x:v>
      </x:c>
      <x:c r="H496" s="11" t="n">
        <x:v>43201.39</x:v>
      </x:c>
      <x:c r="I496" s="11" t="n">
        <x:v>84425.27</x:v>
      </x:c>
    </x:row>
    <x:row r="497">
      <x:c r="A497" t="n">
        <x:v>2023</x:v>
      </x:c>
      <x:c r="B497" t="str">
        <x:v>2023-07</x:v>
      </x:c>
      <x:c r="C497" t="str">
        <x:v>Sparkling</x:v>
      </x:c>
      <x:c r="D497" t="str">
        <x:v>Independent retail</x:v>
      </x:c>
      <x:c r="E497" t="str">
        <x:v>VIC</x:v>
      </x:c>
      <x:c r="F497" s="11" t="n">
        <x:v>84948.35</x:v>
      </x:c>
      <x:c r="G497" s="13" t="n">
        <x:v>23529</x:v>
      </x:c>
      <x:c r="H497" s="11" t="n">
        <x:v>42856.99</x:v>
      </x:c>
      <x:c r="I497" s="11" t="n">
        <x:v>81838.48</x:v>
      </x:c>
    </x:row>
    <x:row r="498">
      <x:c r="A498" t="n">
        <x:v>2023</x:v>
      </x:c>
      <x:c r="B498" t="str">
        <x:v>2023-07</x:v>
      </x:c>
      <x:c r="C498" t="str">
        <x:v>Sparkling</x:v>
      </x:c>
      <x:c r="D498" t="str">
        <x:v>Petrol</x:v>
      </x:c>
      <x:c r="E498" t="str">
        <x:v>NSW</x:v>
      </x:c>
      <x:c r="F498" s="11" t="n">
        <x:v>97540.86</x:v>
      </x:c>
      <x:c r="G498" s="13" t="n">
        <x:v>24979</x:v>
      </x:c>
      <x:c r="H498" s="11" t="n">
        <x:v>52662.7</x:v>
      </x:c>
      <x:c r="I498" s="11" t="n">
        <x:v>94728.04</x:v>
      </x:c>
    </x:row>
    <x:row r="499">
      <x:c r="A499" t="n">
        <x:v>2023</x:v>
      </x:c>
      <x:c r="B499" t="str">
        <x:v>2023-07</x:v>
      </x:c>
      <x:c r="C499" t="str">
        <x:v>Sparkling</x:v>
      </x:c>
      <x:c r="D499" t="str">
        <x:v>Petrol</x:v>
      </x:c>
      <x:c r="E499" t="str">
        <x:v>QLD</x:v>
      </x:c>
      <x:c r="F499" s="11" t="n">
        <x:v>94230.3</x:v>
      </x:c>
      <x:c r="G499" s="13" t="n">
        <x:v>24677</x:v>
      </x:c>
      <x:c r="H499" s="11" t="n">
        <x:v>50085.74</x:v>
      </x:c>
      <x:c r="I499" s="11" t="n">
        <x:v>91062.93000000001</x:v>
      </x:c>
    </x:row>
    <x:row r="500">
      <x:c r="A500" t="n">
        <x:v>2023</x:v>
      </x:c>
      <x:c r="B500" t="str">
        <x:v>2023-07</x:v>
      </x:c>
      <x:c r="C500" t="str">
        <x:v>Sparkling</x:v>
      </x:c>
      <x:c r="D500" t="str">
        <x:v>Petrol</x:v>
      </x:c>
      <x:c r="E500" t="str">
        <x:v>VIC</x:v>
      </x:c>
      <x:c r="F500" s="11" t="n">
        <x:v>91038.22</x:v>
      </x:c>
      <x:c r="G500" s="13" t="n">
        <x:v>23431</x:v>
      </x:c>
      <x:c r="H500" s="11" t="n">
        <x:v>48509.6</x:v>
      </x:c>
      <x:c r="I500" s="11" t="n">
        <x:v>88368.64</x:v>
      </x:c>
    </x:row>
    <x:row r="501">
      <x:c r="A501" t="n">
        <x:v>2023</x:v>
      </x:c>
      <x:c r="B501" t="str">
        <x:v>2023-07</x:v>
      </x:c>
      <x:c r="C501" t="str">
        <x:v>Sports</x:v>
      </x:c>
      <x:c r="D501" t="str">
        <x:v>Convenience</x:v>
      </x:c>
      <x:c r="E501" t="str">
        <x:v>NSW</x:v>
      </x:c>
      <x:c r="F501" s="11" t="n">
        <x:v>57912.04</x:v>
      </x:c>
      <x:c r="G501" s="13" t="n">
        <x:v>11886</x:v>
      </x:c>
      <x:c r="H501" s="11" t="n">
        <x:v>31101.46</x:v>
      </x:c>
      <x:c r="I501" s="11" t="n">
        <x:v>57332.95</x:v>
      </x:c>
    </x:row>
    <x:row r="502">
      <x:c r="A502" t="n">
        <x:v>2023</x:v>
      </x:c>
      <x:c r="B502" t="str">
        <x:v>2023-07</x:v>
      </x:c>
      <x:c r="C502" t="str">
        <x:v>Sports</x:v>
      </x:c>
      <x:c r="D502" t="str">
        <x:v>Convenience</x:v>
      </x:c>
      <x:c r="E502" t="str">
        <x:v>QLD</x:v>
      </x:c>
      <x:c r="F502" s="11" t="n">
        <x:v>57505.32</x:v>
      </x:c>
      <x:c r="G502" s="13" t="n">
        <x:v>11249</x:v>
      </x:c>
      <x:c r="H502" s="11" t="n">
        <x:v>31668.32</x:v>
      </x:c>
      <x:c r="I502" s="11" t="n">
        <x:v>55238</x:v>
      </x:c>
    </x:row>
    <x:row r="503">
      <x:c r="A503" t="n">
        <x:v>2023</x:v>
      </x:c>
      <x:c r="B503" t="str">
        <x:v>2023-07</x:v>
      </x:c>
      <x:c r="C503" t="str">
        <x:v>Sports</x:v>
      </x:c>
      <x:c r="D503" t="str">
        <x:v>Convenience</x:v>
      </x:c>
      <x:c r="E503" t="str">
        <x:v>VIC</x:v>
      </x:c>
      <x:c r="F503" s="11" t="n">
        <x:v>55144.99</x:v>
      </x:c>
      <x:c r="G503" s="13" t="n">
        <x:v>10948</x:v>
      </x:c>
      <x:c r="H503" s="11" t="n">
        <x:v>30239.53</x:v>
      </x:c>
      <x:c r="I503" s="11" t="n">
        <x:v>53434.98</x:v>
      </x:c>
    </x:row>
    <x:row r="504">
      <x:c r="A504" t="n">
        <x:v>2023</x:v>
      </x:c>
      <x:c r="B504" t="str">
        <x:v>2023-07</x:v>
      </x:c>
      <x:c r="C504" t="str">
        <x:v>Sports</x:v>
      </x:c>
      <x:c r="D504" t="str">
        <x:v>Grocery</x:v>
      </x:c>
      <x:c r="E504" t="str">
        <x:v>NSW</x:v>
      </x:c>
      <x:c r="F504" s="11" t="n">
        <x:v>148328.81</x:v>
      </x:c>
      <x:c r="G504" s="13" t="n">
        <x:v>35681</x:v>
      </x:c>
      <x:c r="H504" s="11" t="n">
        <x:v>66621.05</x:v>
      </x:c>
      <x:c r="I504" s="11" t="n">
        <x:v>142325.46</x:v>
      </x:c>
    </x:row>
    <x:row r="505">
      <x:c r="A505" t="n">
        <x:v>2023</x:v>
      </x:c>
      <x:c r="B505" t="str">
        <x:v>2023-07</x:v>
      </x:c>
      <x:c r="C505" t="str">
        <x:v>Sports</x:v>
      </x:c>
      <x:c r="D505" t="str">
        <x:v>Grocery</x:v>
      </x:c>
      <x:c r="E505" t="str">
        <x:v>QLD</x:v>
      </x:c>
      <x:c r="F505" s="11" t="n">
        <x:v>140645.97</x:v>
      </x:c>
      <x:c r="G505" s="13" t="n">
        <x:v>34233</x:v>
      </x:c>
      <x:c r="H505" s="11" t="n">
        <x:v>63399.73</x:v>
      </x:c>
      <x:c r="I505" s="11" t="n">
        <x:v>136830.59</x:v>
      </x:c>
    </x:row>
    <x:row r="506">
      <x:c r="A506" t="n">
        <x:v>2023</x:v>
      </x:c>
      <x:c r="B506" t="str">
        <x:v>2023-07</x:v>
      </x:c>
      <x:c r="C506" t="str">
        <x:v>Sports</x:v>
      </x:c>
      <x:c r="D506" t="str">
        <x:v>Grocery</x:v>
      </x:c>
      <x:c r="E506" t="str">
        <x:v>VIC</x:v>
      </x:c>
      <x:c r="F506" s="11" t="n">
        <x:v>141041.42</x:v>
      </x:c>
      <x:c r="G506" s="13" t="n">
        <x:v>33883</x:v>
      </x:c>
      <x:c r="H506" s="11" t="n">
        <x:v>63358.89</x:v>
      </x:c>
      <x:c r="I506" s="11" t="n">
        <x:v>132766.47999999998</x:v>
      </x:c>
    </x:row>
    <x:row r="507">
      <x:c r="A507" t="n">
        <x:v>2023</x:v>
      </x:c>
      <x:c r="B507" t="str">
        <x:v>2023-07</x:v>
      </x:c>
      <x:c r="C507" t="str">
        <x:v>Sports</x:v>
      </x:c>
      <x:c r="D507" t="str">
        <x:v>Hospitality</x:v>
      </x:c>
      <x:c r="E507" t="str">
        <x:v>NSW</x:v>
      </x:c>
      <x:c r="F507" s="11" t="n">
        <x:v>19063.44</x:v>
      </x:c>
      <x:c r="G507" s="13" t="n">
        <x:v>5019</x:v>
      </x:c>
      <x:c r="H507" s="11" t="n">
        <x:v>7574.92</x:v>
      </x:c>
      <x:c r="I507" s="11" t="n">
        <x:v>17825.15</x:v>
      </x:c>
    </x:row>
    <x:row r="508">
      <x:c r="A508" t="n">
        <x:v>2023</x:v>
      </x:c>
      <x:c r="B508" t="str">
        <x:v>2023-07</x:v>
      </x:c>
      <x:c r="C508" t="str">
        <x:v>Sports</x:v>
      </x:c>
      <x:c r="D508" t="str">
        <x:v>Hospitality</x:v>
      </x:c>
      <x:c r="E508" t="str">
        <x:v>QLD</x:v>
      </x:c>
      <x:c r="F508" s="11" t="n">
        <x:v>17952.89</x:v>
      </x:c>
      <x:c r="G508" s="13" t="n">
        <x:v>4595</x:v>
      </x:c>
      <x:c r="H508" s="11" t="n">
        <x:v>7526.17</x:v>
      </x:c>
      <x:c r="I508" s="11" t="n">
        <x:v>17239.41</x:v>
      </x:c>
    </x:row>
    <x:row r="509">
      <x:c r="A509" t="n">
        <x:v>2023</x:v>
      </x:c>
      <x:c r="B509" t="str">
        <x:v>2023-07</x:v>
      </x:c>
      <x:c r="C509" t="str">
        <x:v>Sports</x:v>
      </x:c>
      <x:c r="D509" t="str">
        <x:v>Hospitality</x:v>
      </x:c>
      <x:c r="E509" t="str">
        <x:v>VIC</x:v>
      </x:c>
      <x:c r="F509" s="11" t="n">
        <x:v>17485.34</x:v>
      </x:c>
      <x:c r="G509" s="13" t="n">
        <x:v>4648</x:v>
      </x:c>
      <x:c r="H509" s="11" t="n">
        <x:v>7050.46</x:v>
      </x:c>
      <x:c r="I509" s="11" t="n">
        <x:v>16674.25</x:v>
      </x:c>
    </x:row>
    <x:row r="510">
      <x:c r="A510" t="n">
        <x:v>2023</x:v>
      </x:c>
      <x:c r="B510" t="str">
        <x:v>2023-07</x:v>
      </x:c>
      <x:c r="C510" t="str">
        <x:v>Sports</x:v>
      </x:c>
      <x:c r="D510" t="str">
        <x:v>Independent retail</x:v>
      </x:c>
      <x:c r="E510" t="str">
        <x:v>NSW</x:v>
      </x:c>
      <x:c r="F510" s="11" t="n">
        <x:v>50716.65</x:v>
      </x:c>
      <x:c r="G510" s="13" t="n">
        <x:v>11334</x:v>
      </x:c>
      <x:c r="H510" s="11" t="n">
        <x:v>24916.18</x:v>
      </x:c>
      <x:c r="I510" s="11" t="n">
        <x:v>48401.39</x:v>
      </x:c>
    </x:row>
    <x:row r="511">
      <x:c r="A511" t="n">
        <x:v>2023</x:v>
      </x:c>
      <x:c r="B511" t="str">
        <x:v>2023-07</x:v>
      </x:c>
      <x:c r="C511" t="str">
        <x:v>Sports</x:v>
      </x:c>
      <x:c r="D511" t="str">
        <x:v>Independent retail</x:v>
      </x:c>
      <x:c r="E511" t="str">
        <x:v>QLD</x:v>
      </x:c>
      <x:c r="F511" s="11" t="n">
        <x:v>47411.95</x:v>
      </x:c>
      <x:c r="G511" s="13" t="n">
        <x:v>10527</x:v>
      </x:c>
      <x:c r="H511" s="11" t="n">
        <x:v>23046.46</x:v>
      </x:c>
      <x:c r="I511" s="11" t="n">
        <x:v>46584.57</x:v>
      </x:c>
    </x:row>
    <x:row r="512">
      <x:c r="A512" t="n">
        <x:v>2023</x:v>
      </x:c>
      <x:c r="B512" t="str">
        <x:v>2023-07</x:v>
      </x:c>
      <x:c r="C512" t="str">
        <x:v>Sports</x:v>
      </x:c>
      <x:c r="D512" t="str">
        <x:v>Independent retail</x:v>
      </x:c>
      <x:c r="E512" t="str">
        <x:v>VIC</x:v>
      </x:c>
      <x:c r="F512" s="11" t="n">
        <x:v>46360.61</x:v>
      </x:c>
      <x:c r="G512" s="13" t="n">
        <x:v>10279</x:v>
      </x:c>
      <x:c r="H512" s="11" t="n">
        <x:v>22899.24</x:v>
      </x:c>
      <x:c r="I512" s="11" t="n">
        <x:v>45128.99</x:v>
      </x:c>
    </x:row>
    <x:row r="513">
      <x:c r="A513" t="n">
        <x:v>2023</x:v>
      </x:c>
      <x:c r="B513" t="str">
        <x:v>2023-07</x:v>
      </x:c>
      <x:c r="C513" t="str">
        <x:v>Sports</x:v>
      </x:c>
      <x:c r="D513" t="str">
        <x:v>Petrol</x:v>
      </x:c>
      <x:c r="E513" t="str">
        <x:v>NSW</x:v>
      </x:c>
      <x:c r="F513" s="11" t="n">
        <x:v>54205.36</x:v>
      </x:c>
      <x:c r="G513" s="13" t="n">
        <x:v>11232</x:v>
      </x:c>
      <x:c r="H513" s="11" t="n">
        <x:v>28461.35</x:v>
      </x:c>
      <x:c r="I513" s="11" t="n">
        <x:v>52430.14</x:v>
      </x:c>
    </x:row>
    <x:row r="514">
      <x:c r="A514" t="n">
        <x:v>2023</x:v>
      </x:c>
      <x:c r="B514" t="str">
        <x:v>2023-07</x:v>
      </x:c>
      <x:c r="C514" t="str">
        <x:v>Sports</x:v>
      </x:c>
      <x:c r="D514" t="str">
        <x:v>Petrol</x:v>
      </x:c>
      <x:c r="E514" t="str">
        <x:v>QLD</x:v>
      </x:c>
      <x:c r="F514" s="11" t="n">
        <x:v>52230.2</x:v>
      </x:c>
      <x:c r="G514" s="13" t="n">
        <x:v>11298</x:v>
      </x:c>
      <x:c r="H514" s="11" t="n">
        <x:v>26381.920000000002</x:v>
      </x:c>
      <x:c r="I514" s="11" t="n">
        <x:v>50473.1</x:v>
      </x:c>
    </x:row>
    <x:row r="515">
      <x:c r="A515" t="n">
        <x:v>2023</x:v>
      </x:c>
      <x:c r="B515" t="str">
        <x:v>2023-07</x:v>
      </x:c>
      <x:c r="C515" t="str">
        <x:v>Sports</x:v>
      </x:c>
      <x:c r="D515" t="str">
        <x:v>Petrol</x:v>
      </x:c>
      <x:c r="E515" t="str">
        <x:v>VIC</x:v>
      </x:c>
      <x:c r="F515" s="11" t="n">
        <x:v>51460.99</x:v>
      </x:c>
      <x:c r="G515" s="13" t="n">
        <x:v>10784</x:v>
      </x:c>
      <x:c r="H515" s="11" t="n">
        <x:v>26502.24</x:v>
      </x:c>
      <x:c r="I515" s="11" t="n">
        <x:v>48952.17</x:v>
      </x:c>
    </x:row>
    <x:row r="516">
      <x:c r="A516" t="n">
        <x:v>2023</x:v>
      </x:c>
      <x:c r="B516" t="str">
        <x:v>2023-07</x:v>
      </x:c>
      <x:c r="C516" t="str">
        <x:v>Water</x:v>
      </x:c>
      <x:c r="D516" t="str">
        <x:v>Convenience</x:v>
      </x:c>
      <x:c r="E516" t="str">
        <x:v>NSW</x:v>
      </x:c>
      <x:c r="F516" s="11" t="n">
        <x:v>70718.9</x:v>
      </x:c>
      <x:c r="G516" s="13" t="n">
        <x:v>23029</x:v>
      </x:c>
      <x:c r="H516" s="11" t="n">
        <x:v>34586.7</x:v>
      </x:c>
      <x:c r="I516" s="11" t="n">
        <x:v>68260.34999999999</x:v>
      </x:c>
    </x:row>
    <x:row r="517">
      <x:c r="A517" t="n">
        <x:v>2023</x:v>
      </x:c>
      <x:c r="B517" t="str">
        <x:v>2023-07</x:v>
      </x:c>
      <x:c r="C517" t="str">
        <x:v>Water</x:v>
      </x:c>
      <x:c r="D517" t="str">
        <x:v>Convenience</x:v>
      </x:c>
      <x:c r="E517" t="str">
        <x:v>QLD</x:v>
      </x:c>
      <x:c r="F517" s="11" t="n">
        <x:v>67040.75</x:v>
      </x:c>
      <x:c r="G517" s="13" t="n">
        <x:v>22515</x:v>
      </x:c>
      <x:c r="H517" s="11" t="n">
        <x:v>32007.95</x:v>
      </x:c>
      <x:c r="I517" s="11" t="n">
        <x:v>65627.43</x:v>
      </x:c>
    </x:row>
    <x:row r="518">
      <x:c r="A518" t="n">
        <x:v>2023</x:v>
      </x:c>
      <x:c r="B518" t="str">
        <x:v>2023-07</x:v>
      </x:c>
      <x:c r="C518" t="str">
        <x:v>Water</x:v>
      </x:c>
      <x:c r="D518" t="str">
        <x:v>Convenience</x:v>
      </x:c>
      <x:c r="E518" t="str">
        <x:v>VIC</x:v>
      </x:c>
      <x:c r="F518" s="11" t="n">
        <x:v>65484.36</x:v>
      </x:c>
      <x:c r="G518" s="13" t="n">
        <x:v>21207</x:v>
      </x:c>
      <x:c r="H518" s="11" t="n">
        <x:v>31629.36</x:v>
      </x:c>
      <x:c r="I518" s="11" t="n">
        <x:v>63754.27</x:v>
      </x:c>
    </x:row>
    <x:row r="519">
      <x:c r="A519" t="n">
        <x:v>2023</x:v>
      </x:c>
      <x:c r="B519" t="str">
        <x:v>2023-07</x:v>
      </x:c>
      <x:c r="C519" t="str">
        <x:v>Water</x:v>
      </x:c>
      <x:c r="D519" t="str">
        <x:v>Grocery</x:v>
      </x:c>
      <x:c r="E519" t="str">
        <x:v>NSW</x:v>
      </x:c>
      <x:c r="F519" s="11" t="n">
        <x:v>175793.96</x:v>
      </x:c>
      <x:c r="G519" s="13" t="n">
        <x:v>65136</x:v>
      </x:c>
      <x:c r="H519" s="11" t="n">
        <x:v>74499.12</x:v>
      </x:c>
      <x:c r="I519" s="11" t="n">
        <x:v>170402.6</x:v>
      </x:c>
    </x:row>
    <x:row r="520">
      <x:c r="A520" t="n">
        <x:v>2023</x:v>
      </x:c>
      <x:c r="B520" t="str">
        <x:v>2023-07</x:v>
      </x:c>
      <x:c r="C520" t="str">
        <x:v>Water</x:v>
      </x:c>
      <x:c r="D520" t="str">
        <x:v>Grocery</x:v>
      </x:c>
      <x:c r="E520" t="str">
        <x:v>QLD</x:v>
      </x:c>
      <x:c r="F520" s="11" t="n">
        <x:v>162709.54</x:v>
      </x:c>
      <x:c r="G520" s="13" t="n">
        <x:v>59284</x:v>
      </x:c>
      <x:c r="H520" s="11" t="n">
        <x:v>68547.42</x:v>
      </x:c>
      <x:c r="I520" s="11" t="n">
        <x:v>163853.28</x:v>
      </x:c>
    </x:row>
    <x:row r="521">
      <x:c r="A521" t="n">
        <x:v>2023</x:v>
      </x:c>
      <x:c r="B521" t="str">
        <x:v>2023-07</x:v>
      </x:c>
      <x:c r="C521" t="str">
        <x:v>Water</x:v>
      </x:c>
      <x:c r="D521" t="str">
        <x:v>Grocery</x:v>
      </x:c>
      <x:c r="E521" t="str">
        <x:v>VIC</x:v>
      </x:c>
      <x:c r="F521" s="11" t="n">
        <x:v>163386.46</x:v>
      </x:c>
      <x:c r="G521" s="13" t="n">
        <x:v>58988</x:v>
      </x:c>
      <x:c r="H521" s="11" t="n">
        <x:v>70055.54</x:v>
      </x:c>
      <x:c r="I521" s="11" t="n">
        <x:v>158953.42</x:v>
      </x:c>
    </x:row>
    <x:row r="522">
      <x:c r="A522" t="n">
        <x:v>2023</x:v>
      </x:c>
      <x:c r="B522" t="str">
        <x:v>2023-07</x:v>
      </x:c>
      <x:c r="C522" t="str">
        <x:v>Water</x:v>
      </x:c>
      <x:c r="D522" t="str">
        <x:v>Hospitality</x:v>
      </x:c>
      <x:c r="E522" t="str">
        <x:v>NSW</x:v>
      </x:c>
      <x:c r="F522" s="11" t="n">
        <x:v>21618.76</x:v>
      </x:c>
      <x:c r="G522" s="13" t="n">
        <x:v>8542</x:v>
      </x:c>
      <x:c r="H522" s="11" t="n">
        <x:v>8194.12</x:v>
      </x:c>
      <x:c r="I522" s="11" t="n">
        <x:v>21303.42</x:v>
      </x:c>
    </x:row>
    <x:row r="523">
      <x:c r="A523" t="n">
        <x:v>2023</x:v>
      </x:c>
      <x:c r="B523" t="str">
        <x:v>2023-07</x:v>
      </x:c>
      <x:c r="C523" t="str">
        <x:v>Water</x:v>
      </x:c>
      <x:c r="D523" t="str">
        <x:v>Hospitality</x:v>
      </x:c>
      <x:c r="E523" t="str">
        <x:v>QLD</x:v>
      </x:c>
      <x:c r="F523" s="11" t="n">
        <x:v>21309.18</x:v>
      </x:c>
      <x:c r="G523" s="13" t="n">
        <x:v>8605</x:v>
      </x:c>
      <x:c r="H523" s="11" t="n">
        <x:v>7630.78</x:v>
      </x:c>
      <x:c r="I523" s="11" t="n">
        <x:v>20509.38</x:v>
      </x:c>
    </x:row>
    <x:row r="524">
      <x:c r="A524" t="n">
        <x:v>2023</x:v>
      </x:c>
      <x:c r="B524" t="str">
        <x:v>2023-07</x:v>
      </x:c>
      <x:c r="C524" t="str">
        <x:v>Water</x:v>
      </x:c>
      <x:c r="D524" t="str">
        <x:v>Hospitality</x:v>
      </x:c>
      <x:c r="E524" t="str">
        <x:v>VIC</x:v>
      </x:c>
      <x:c r="F524" s="11" t="n">
        <x:v>20643.31</x:v>
      </x:c>
      <x:c r="G524" s="13" t="n">
        <x:v>8162</x:v>
      </x:c>
      <x:c r="H524" s="11" t="n">
        <x:v>7641.87</x:v>
      </x:c>
      <x:c r="I524" s="11" t="n">
        <x:v>19932.12</x:v>
      </x:c>
    </x:row>
    <x:row r="525">
      <x:c r="A525" t="n">
        <x:v>2023</x:v>
      </x:c>
      <x:c r="B525" t="str">
        <x:v>2023-07</x:v>
      </x:c>
      <x:c r="C525" t="str">
        <x:v>Water</x:v>
      </x:c>
      <x:c r="D525" t="str">
        <x:v>Independent retail</x:v>
      </x:c>
      <x:c r="E525" t="str">
        <x:v>NSW</x:v>
      </x:c>
      <x:c r="F525" s="11" t="n">
        <x:v>60696</x:v>
      </x:c>
      <x:c r="G525" s="13" t="n">
        <x:v>22352</x:v>
      </x:c>
      <x:c r="H525" s="11" t="n">
        <x:v>25287.56</x:v>
      </x:c>
      <x:c r="I525" s="11" t="n">
        <x:v>57900.94</x:v>
      </x:c>
    </x:row>
    <x:row r="526">
      <x:c r="A526" t="n">
        <x:v>2023</x:v>
      </x:c>
      <x:c r="B526" t="str">
        <x:v>2023-07</x:v>
      </x:c>
      <x:c r="C526" t="str">
        <x:v>Water</x:v>
      </x:c>
      <x:c r="D526" t="str">
        <x:v>Independent retail</x:v>
      </x:c>
      <x:c r="E526" t="str">
        <x:v>QLD</x:v>
      </x:c>
      <x:c r="F526" s="11" t="n">
        <x:v>56798.13</x:v>
      </x:c>
      <x:c r="G526" s="13" t="n">
        <x:v>21246</x:v>
      </x:c>
      <x:c r="H526" s="11" t="n">
        <x:v>23760.33</x:v>
      </x:c>
      <x:c r="I526" s="11" t="n">
        <x:v>55672.96</x:v>
      </x:c>
    </x:row>
    <x:row r="527">
      <x:c r="A527" t="n">
        <x:v>2023</x:v>
      </x:c>
      <x:c r="B527" t="str">
        <x:v>2023-07</x:v>
      </x:c>
      <x:c r="C527" t="str">
        <x:v>Water</x:v>
      </x:c>
      <x:c r="D527" t="str">
        <x:v>Independent retail</x:v>
      </x:c>
      <x:c r="E527" t="str">
        <x:v>VIC</x:v>
      </x:c>
      <x:c r="F527" s="11" t="n">
        <x:v>55331.4</x:v>
      </x:c>
      <x:c r="G527" s="13" t="n">
        <x:v>20525</x:v>
      </x:c>
      <x:c r="H527" s="11" t="n">
        <x:v>22974.44</x:v>
      </x:c>
      <x:c r="I527" s="11" t="n">
        <x:v>54053.86</x:v>
      </x:c>
    </x:row>
    <x:row r="528">
      <x:c r="A528" t="n">
        <x:v>2023</x:v>
      </x:c>
      <x:c r="B528" t="str">
        <x:v>2023-07</x:v>
      </x:c>
      <x:c r="C528" t="str">
        <x:v>Water</x:v>
      </x:c>
      <x:c r="D528" t="str">
        <x:v>Petrol</x:v>
      </x:c>
      <x:c r="E528" t="str">
        <x:v>NSW</x:v>
      </x:c>
      <x:c r="F528" s="11" t="n">
        <x:v>63090.71</x:v>
      </x:c>
      <x:c r="G528" s="13" t="n">
        <x:v>21731</x:v>
      </x:c>
      <x:c r="H528" s="11" t="n">
        <x:v>29299.71</x:v>
      </x:c>
      <x:c r="I528" s="11" t="n">
        <x:v>62405.82</x:v>
      </x:c>
    </x:row>
    <x:row r="529">
      <x:c r="A529" t="n">
        <x:v>2023</x:v>
      </x:c>
      <x:c r="B529" t="str">
        <x:v>2023-07</x:v>
      </x:c>
      <x:c r="C529" t="str">
        <x:v>Water</x:v>
      </x:c>
      <x:c r="D529" t="str">
        <x:v>Petrol</x:v>
      </x:c>
      <x:c r="E529" t="str">
        <x:v>QLD</x:v>
      </x:c>
      <x:c r="F529" s="11" t="n">
        <x:v>62840.729999999996</x:v>
      </x:c>
      <x:c r="G529" s="13" t="n">
        <x:v>20501</x:v>
      </x:c>
      <x:c r="H529" s="11" t="n">
        <x:v>30543.65</x:v>
      </x:c>
      <x:c r="I529" s="11" t="n">
        <x:v>59977.82</x:v>
      </x:c>
    </x:row>
    <x:row r="530">
      <x:c r="A530" t="n">
        <x:v>2023</x:v>
      </x:c>
      <x:c r="B530" t="str">
        <x:v>2023-07</x:v>
      </x:c>
      <x:c r="C530" t="str">
        <x:v>Water</x:v>
      </x:c>
      <x:c r="D530" t="str">
        <x:v>Petrol</x:v>
      </x:c>
      <x:c r="E530" t="str">
        <x:v>VIC</x:v>
      </x:c>
      <x:c r="F530" s="11" t="n">
        <x:v>61319.74</x:v>
      </x:c>
      <x:c r="G530" s="13" t="n">
        <x:v>20611</x:v>
      </x:c>
      <x:c r="H530" s="11" t="n">
        <x:v>29199.82</x:v>
      </x:c>
      <x:c r="I530" s="11" t="n">
        <x:v>58152.83</x:v>
      </x:c>
    </x:row>
    <x:row r="531">
      <x:c r="A531" t="n">
        <x:v>2023</x:v>
      </x:c>
      <x:c r="B531" t="str">
        <x:v>2023-08</x:v>
      </x:c>
      <x:c r="C531" t="str">
        <x:v>Coffee</x:v>
      </x:c>
      <x:c r="D531" t="str">
        <x:v>Convenience</x:v>
      </x:c>
      <x:c r="E531" t="str">
        <x:v>NSW</x:v>
      </x:c>
      <x:c r="F531" s="11" t="n">
        <x:v>23702.75</x:v>
      </x:c>
      <x:c r="G531" s="13" t="n">
        <x:v>4662</x:v>
      </x:c>
      <x:c r="H531" s="11" t="n">
        <x:v>10398.63</x:v>
      </x:c>
      <x:c r="I531" s="11" t="n">
        <x:v>23573.56</x:v>
      </x:c>
    </x:row>
    <x:row r="532">
      <x:c r="A532" t="n">
        <x:v>2023</x:v>
      </x:c>
      <x:c r="B532" t="str">
        <x:v>2023-08</x:v>
      </x:c>
      <x:c r="C532" t="str">
        <x:v>Coffee</x:v>
      </x:c>
      <x:c r="D532" t="str">
        <x:v>Convenience</x:v>
      </x:c>
      <x:c r="E532" t="str">
        <x:v>QLD</x:v>
      </x:c>
      <x:c r="F532" s="11" t="n">
        <x:v>22200.12</x:v>
      </x:c>
      <x:c r="G532" s="13" t="n">
        <x:v>4262</x:v>
      </x:c>
      <x:c r="H532" s="11" t="n">
        <x:v>10082.11</x:v>
      </x:c>
      <x:c r="I532" s="11" t="n">
        <x:v>22688.31</x:v>
      </x:c>
    </x:row>
    <x:row r="533">
      <x:c r="A533" t="n">
        <x:v>2023</x:v>
      </x:c>
      <x:c r="B533" t="str">
        <x:v>2023-08</x:v>
      </x:c>
      <x:c r="C533" t="str">
        <x:v>Coffee</x:v>
      </x:c>
      <x:c r="D533" t="str">
        <x:v>Convenience</x:v>
      </x:c>
      <x:c r="E533" t="str">
        <x:v>VIC</x:v>
      </x:c>
      <x:c r="F533" s="11" t="n">
        <x:v>21918.34</x:v>
      </x:c>
      <x:c r="G533" s="13" t="n">
        <x:v>4228</x:v>
      </x:c>
      <x:c r="H533" s="11" t="n">
        <x:v>9852.11</x:v>
      </x:c>
      <x:c r="I533" s="11" t="n">
        <x:v>22003.39</x:v>
      </x:c>
    </x:row>
    <x:row r="534">
      <x:c r="A534" t="n">
        <x:v>2023</x:v>
      </x:c>
      <x:c r="B534" t="str">
        <x:v>2023-08</x:v>
      </x:c>
      <x:c r="C534" t="str">
        <x:v>Coffee</x:v>
      </x:c>
      <x:c r="D534" t="str">
        <x:v>Grocery</x:v>
      </x:c>
      <x:c r="E534" t="str">
        <x:v>NSW</x:v>
      </x:c>
      <x:c r="F534" s="11" t="n">
        <x:v>56915.65</x:v>
      </x:c>
      <x:c r="G534" s="13" t="n">
        <x:v>13447</x:v>
      </x:c>
      <x:c r="H534" s="11" t="n">
        <x:v>18658.08</x:v>
      </x:c>
      <x:c r="I534" s="11" t="n">
        <x:v>58547.91</x:v>
      </x:c>
    </x:row>
    <x:row r="535">
      <x:c r="A535" t="n">
        <x:v>2023</x:v>
      </x:c>
      <x:c r="B535" t="str">
        <x:v>2023-08</x:v>
      </x:c>
      <x:c r="C535" t="str">
        <x:v>Coffee</x:v>
      </x:c>
      <x:c r="D535" t="str">
        <x:v>Grocery</x:v>
      </x:c>
      <x:c r="E535" t="str">
        <x:v>QLD</x:v>
      </x:c>
      <x:c r="F535" s="11" t="n">
        <x:v>57247.3</x:v>
      </x:c>
      <x:c r="G535" s="13" t="n">
        <x:v>13482</x:v>
      </x:c>
      <x:c r="H535" s="11" t="n">
        <x:v>18848.63</x:v>
      </x:c>
      <x:c r="I535" s="11" t="n">
        <x:v>56275</x:v>
      </x:c>
    </x:row>
    <x:row r="536">
      <x:c r="A536" t="n">
        <x:v>2023</x:v>
      </x:c>
      <x:c r="B536" t="str">
        <x:v>2023-08</x:v>
      </x:c>
      <x:c r="C536" t="str">
        <x:v>Coffee</x:v>
      </x:c>
      <x:c r="D536" t="str">
        <x:v>Grocery</x:v>
      </x:c>
      <x:c r="E536" t="str">
        <x:v>VIC</x:v>
      </x:c>
      <x:c r="F536" s="11" t="n">
        <x:v>52446.85</x:v>
      </x:c>
      <x:c r="G536" s="13" t="n">
        <x:v>12515</x:v>
      </x:c>
      <x:c r="H536" s="11" t="n">
        <x:v>17081.14</x:v>
      </x:c>
      <x:c r="I536" s="11" t="n">
        <x:v>54602.57</x:v>
      </x:c>
    </x:row>
    <x:row r="537">
      <x:c r="A537" t="n">
        <x:v>2023</x:v>
      </x:c>
      <x:c r="B537" t="str">
        <x:v>2023-08</x:v>
      </x:c>
      <x:c r="C537" t="str">
        <x:v>Coffee</x:v>
      </x:c>
      <x:c r="D537" t="str">
        <x:v>Hospitality</x:v>
      </x:c>
      <x:c r="E537" t="str">
        <x:v>NSW</x:v>
      </x:c>
      <x:c r="F537" s="11" t="n">
        <x:v>7404.75</x:v>
      </x:c>
      <x:c r="G537" s="13" t="n">
        <x:v>1914</x:v>
      </x:c>
      <x:c r="H537" s="11" t="n">
        <x:v>1967.37</x:v>
      </x:c>
      <x:c r="I537" s="11" t="n">
        <x:v>7337.77</x:v>
      </x:c>
    </x:row>
    <x:row r="538">
      <x:c r="A538" t="n">
        <x:v>2023</x:v>
      </x:c>
      <x:c r="B538" t="str">
        <x:v>2023-08</x:v>
      </x:c>
      <x:c r="C538" t="str">
        <x:v>Coffee</x:v>
      </x:c>
      <x:c r="D538" t="str">
        <x:v>Hospitality</x:v>
      </x:c>
      <x:c r="E538" t="str">
        <x:v>QLD</x:v>
      </x:c>
      <x:c r="F538" s="11" t="n">
        <x:v>7228.94</x:v>
      </x:c>
      <x:c r="G538" s="13" t="n">
        <x:v>1792</x:v>
      </x:c>
      <x:c r="H538" s="11" t="n">
        <x:v>2119.64</x:v>
      </x:c>
      <x:c r="I538" s="11" t="n">
        <x:v>7038.5199999999995</x:v>
      </x:c>
    </x:row>
    <x:row r="539">
      <x:c r="A539" t="n">
        <x:v>2023</x:v>
      </x:c>
      <x:c r="B539" t="str">
        <x:v>2023-08</x:v>
      </x:c>
      <x:c r="C539" t="str">
        <x:v>Coffee</x:v>
      </x:c>
      <x:c r="D539" t="str">
        <x:v>Hospitality</x:v>
      </x:c>
      <x:c r="E539" t="str">
        <x:v>VIC</x:v>
      </x:c>
      <x:c r="F539" s="11" t="n">
        <x:v>6962.06</x:v>
      </x:c>
      <x:c r="G539" s="13" t="n">
        <x:v>1786</x:v>
      </x:c>
      <x:c r="H539" s="11" t="n">
        <x:v>1890.59</x:v>
      </x:c>
      <x:c r="I539" s="11" t="n">
        <x:v>6879.219999999999</x:v>
      </x:c>
    </x:row>
    <x:row r="540">
      <x:c r="A540" t="n">
        <x:v>2023</x:v>
      </x:c>
      <x:c r="B540" t="str">
        <x:v>2023-08</x:v>
      </x:c>
      <x:c r="C540" t="str">
        <x:v>Coffee</x:v>
      </x:c>
      <x:c r="D540" t="str">
        <x:v>Independent retail</x:v>
      </x:c>
      <x:c r="E540" t="str">
        <x:v>NSW</x:v>
      </x:c>
      <x:c r="F540" s="11" t="n">
        <x:v>20239.54</x:v>
      </x:c>
      <x:c r="G540" s="13" t="n">
        <x:v>4428</x:v>
      </x:c>
      <x:c r="H540" s="11" t="n">
        <x:v>7692.23</x:v>
      </x:c>
      <x:c r="I540" s="11" t="n">
        <x:v>19886.41</x:v>
      </x:c>
    </x:row>
    <x:row r="541">
      <x:c r="A541" t="n">
        <x:v>2023</x:v>
      </x:c>
      <x:c r="B541" t="str">
        <x:v>2023-08</x:v>
      </x:c>
      <x:c r="C541" t="str">
        <x:v>Coffee</x:v>
      </x:c>
      <x:c r="D541" t="str">
        <x:v>Independent retail</x:v>
      </x:c>
      <x:c r="E541" t="str">
        <x:v>QLD</x:v>
      </x:c>
      <x:c r="F541" s="11" t="n">
        <x:v>19243.95</x:v>
      </x:c>
      <x:c r="G541" s="13" t="n">
        <x:v>4222</x:v>
      </x:c>
      <x:c r="H541" s="11" t="n">
        <x:v>7151.45</x:v>
      </x:c>
      <x:c r="I541" s="11" t="n">
        <x:v>19126.97</x:v>
      </x:c>
    </x:row>
    <x:row r="542">
      <x:c r="A542" t="n">
        <x:v>2023</x:v>
      </x:c>
      <x:c r="B542" t="str">
        <x:v>2023-08</x:v>
      </x:c>
      <x:c r="C542" t="str">
        <x:v>Coffee</x:v>
      </x:c>
      <x:c r="D542" t="str">
        <x:v>Independent retail</x:v>
      </x:c>
      <x:c r="E542" t="str">
        <x:v>VIC</x:v>
      </x:c>
      <x:c r="F542" s="11" t="n">
        <x:v>18621.27</x:v>
      </x:c>
      <x:c r="G542" s="13" t="n">
        <x:v>3999</x:v>
      </x:c>
      <x:c r="H542" s="11" t="n">
        <x:v>7182.4800000000005</x:v>
      </x:c>
      <x:c r="I542" s="11" t="n">
        <x:v>18539.12</x:v>
      </x:c>
    </x:row>
    <x:row r="543">
      <x:c r="A543" t="n">
        <x:v>2023</x:v>
      </x:c>
      <x:c r="B543" t="str">
        <x:v>2023-08</x:v>
      </x:c>
      <x:c r="C543" t="str">
        <x:v>Coffee</x:v>
      </x:c>
      <x:c r="D543" t="str">
        <x:v>Petrol</x:v>
      </x:c>
      <x:c r="E543" t="str">
        <x:v>NSW</x:v>
      </x:c>
      <x:c r="F543" s="11" t="n">
        <x:v>21738.61</x:v>
      </x:c>
      <x:c r="G543" s="13" t="n">
        <x:v>4349</x:v>
      </x:c>
      <x:c r="H543" s="11" t="n">
        <x:v>9162.54</x:v>
      </x:c>
      <x:c r="I543" s="11" t="n">
        <x:v>21441.97</x:v>
      </x:c>
    </x:row>
    <x:row r="544">
      <x:c r="A544" t="n">
        <x:v>2023</x:v>
      </x:c>
      <x:c r="B544" t="str">
        <x:v>2023-08</x:v>
      </x:c>
      <x:c r="C544" t="str">
        <x:v>Coffee</x:v>
      </x:c>
      <x:c r="D544" t="str">
        <x:v>Petrol</x:v>
      </x:c>
      <x:c r="E544" t="str">
        <x:v>QLD</x:v>
      </x:c>
      <x:c r="F544" s="11" t="n">
        <x:v>20927.35</x:v>
      </x:c>
      <x:c r="G544" s="13" t="n">
        <x:v>4393</x:v>
      </x:c>
      <x:c r="H544" s="11" t="n">
        <x:v>8355.8</x:v>
      </x:c>
      <x:c r="I544" s="11" t="n">
        <x:v>20618.62</x:v>
      </x:c>
    </x:row>
    <x:row r="545">
      <x:c r="A545" t="n">
        <x:v>2023</x:v>
      </x:c>
      <x:c r="B545" t="str">
        <x:v>2023-08</x:v>
      </x:c>
      <x:c r="C545" t="str">
        <x:v>Coffee</x:v>
      </x:c>
      <x:c r="D545" t="str">
        <x:v>Petrol</x:v>
      </x:c>
      <x:c r="E545" t="str">
        <x:v>VIC</x:v>
      </x:c>
      <x:c r="F545" s="11" t="n">
        <x:v>20248.84</x:v>
      </x:c>
      <x:c r="G545" s="13" t="n">
        <x:v>4202</x:v>
      </x:c>
      <x:c r="H545" s="11" t="n">
        <x:v>8215.28</x:v>
      </x:c>
      <x:c r="I545" s="11" t="n">
        <x:v>19985.83</x:v>
      </x:c>
    </x:row>
    <x:row r="546">
      <x:c r="A546" t="n">
        <x:v>2023</x:v>
      </x:c>
      <x:c r="B546" t="str">
        <x:v>2023-08</x:v>
      </x:c>
      <x:c r="C546" t="str">
        <x:v>Energy</x:v>
      </x:c>
      <x:c r="D546" t="str">
        <x:v>Convenience</x:v>
      </x:c>
      <x:c r="E546" t="str">
        <x:v>NSW</x:v>
      </x:c>
      <x:c r="F546" s="11" t="n">
        <x:v>57269.58</x:v>
      </x:c>
      <x:c r="G546" s="13" t="n">
        <x:v>10540</x:v>
      </x:c>
      <x:c r="H546" s="11" t="n">
        <x:v>34831.02</x:v>
      </x:c>
      <x:c r="I546" s="11" t="n">
        <x:v>86792.31999999999</x:v>
      </x:c>
    </x:row>
    <x:row r="547">
      <x:c r="A547" t="n">
        <x:v>2023</x:v>
      </x:c>
      <x:c r="B547" t="str">
        <x:v>2023-08</x:v>
      </x:c>
      <x:c r="C547" t="str">
        <x:v>Energy</x:v>
      </x:c>
      <x:c r="D547" t="str">
        <x:v>Convenience</x:v>
      </x:c>
      <x:c r="E547" t="str">
        <x:v>QLD</x:v>
      </x:c>
      <x:c r="F547" s="11" t="n">
        <x:v>55164.23</x:v>
      </x:c>
      <x:c r="G547" s="13" t="n">
        <x:v>10402</x:v>
      </x:c>
      <x:c r="H547" s="11" t="n">
        <x:v>33027.79</x:v>
      </x:c>
      <x:c r="I547" s="11" t="n">
        <x:v>83477.59</x:v>
      </x:c>
    </x:row>
    <x:row r="548">
      <x:c r="A548" t="n">
        <x:v>2023</x:v>
      </x:c>
      <x:c r="B548" t="str">
        <x:v>2023-08</x:v>
      </x:c>
      <x:c r="C548" t="str">
        <x:v>Energy</x:v>
      </x:c>
      <x:c r="D548" t="str">
        <x:v>Convenience</x:v>
      </x:c>
      <x:c r="E548" t="str">
        <x:v>VIC</x:v>
      </x:c>
      <x:c r="F548" s="11" t="n">
        <x:v>55706</x:v>
      </x:c>
      <x:c r="G548" s="13" t="n">
        <x:v>10413</x:v>
      </x:c>
      <x:c r="H548" s="11" t="n">
        <x:v>33472.28</x:v>
      </x:c>
      <x:c r="I548" s="11" t="n">
        <x:v>80987.5</x:v>
      </x:c>
    </x:row>
    <x:row r="549">
      <x:c r="A549" t="n">
        <x:v>2023</x:v>
      </x:c>
      <x:c r="B549" t="str">
        <x:v>2023-08</x:v>
      </x:c>
      <x:c r="C549" t="str">
        <x:v>Energy</x:v>
      </x:c>
      <x:c r="D549" t="str">
        <x:v>Grocery</x:v>
      </x:c>
      <x:c r="E549" t="str">
        <x:v>NSW</x:v>
      </x:c>
      <x:c r="F549" s="11" t="n">
        <x:v>216617.94</x:v>
      </x:c>
      <x:c r="G549" s="13" t="n">
        <x:v>47231</x:v>
      </x:c>
      <x:c r="H549" s="11" t="n">
        <x:v>117528.5</x:v>
      </x:c>
      <x:c r="I549" s="11" t="n">
        <x:v>216190.07</x:v>
      </x:c>
    </x:row>
    <x:row r="550">
      <x:c r="A550" t="n">
        <x:v>2023</x:v>
      </x:c>
      <x:c r="B550" t="str">
        <x:v>2023-08</x:v>
      </x:c>
      <x:c r="C550" t="str">
        <x:v>Energy</x:v>
      </x:c>
      <x:c r="D550" t="str">
        <x:v>Grocery</x:v>
      </x:c>
      <x:c r="E550" t="str">
        <x:v>QLD</x:v>
      </x:c>
      <x:c r="F550" s="11" t="n">
        <x:v>215470.38</x:v>
      </x:c>
      <x:c r="G550" s="13" t="n">
        <x:v>46393</x:v>
      </x:c>
      <x:c r="H550" s="11" t="n">
        <x:v>118208.54000000001</x:v>
      </x:c>
      <x:c r="I550" s="11" t="n">
        <x:v>207862.99</x:v>
      </x:c>
    </x:row>
    <x:row r="551">
      <x:c r="A551" t="n">
        <x:v>2023</x:v>
      </x:c>
      <x:c r="B551" t="str">
        <x:v>2023-08</x:v>
      </x:c>
      <x:c r="C551" t="str">
        <x:v>Energy</x:v>
      </x:c>
      <x:c r="D551" t="str">
        <x:v>Grocery</x:v>
      </x:c>
      <x:c r="E551" t="str">
        <x:v>VIC</x:v>
      </x:c>
      <x:c r="F551" s="11" t="n">
        <x:v>217189.47</x:v>
      </x:c>
      <x:c r="G551" s="13" t="n">
        <x:v>47547</x:v>
      </x:c>
      <x:c r="H551" s="11" t="n">
        <x:v>118298.55</x:v>
      </x:c>
      <x:c r="I551" s="11" t="n">
        <x:v>201612.84</x:v>
      </x:c>
    </x:row>
    <x:row r="552">
      <x:c r="A552" t="n">
        <x:v>2023</x:v>
      </x:c>
      <x:c r="B552" t="str">
        <x:v>2023-08</x:v>
      </x:c>
      <x:c r="C552" t="str">
        <x:v>Energy</x:v>
      </x:c>
      <x:c r="D552" t="str">
        <x:v>Hospitality</x:v>
      </x:c>
      <x:c r="E552" t="str">
        <x:v>NSW</x:v>
      </x:c>
      <x:c r="F552" s="11" t="n">
        <x:v>27658.13</x:v>
      </x:c>
      <x:c r="G552" s="13" t="n">
        <x:v>6543</x:v>
      </x:c>
      <x:c r="H552" s="11" t="n">
        <x:v>14015.65</x:v>
      </x:c>
      <x:c r="I552" s="11" t="n">
        <x:v>27039.76</x:v>
      </x:c>
    </x:row>
    <x:row r="553">
      <x:c r="A553" t="n">
        <x:v>2023</x:v>
      </x:c>
      <x:c r="B553" t="str">
        <x:v>2023-08</x:v>
      </x:c>
      <x:c r="C553" t="str">
        <x:v>Energy</x:v>
      </x:c>
      <x:c r="D553" t="str">
        <x:v>Hospitality</x:v>
      </x:c>
      <x:c r="E553" t="str">
        <x:v>QLD</x:v>
      </x:c>
      <x:c r="F553" s="11" t="n">
        <x:v>27005.69</x:v>
      </x:c>
      <x:c r="G553" s="13" t="n">
        <x:v>6184</x:v>
      </x:c>
      <x:c r="H553" s="11" t="n">
        <x:v>13669.369999999999</x:v>
      </x:c>
      <x:c r="I553" s="11" t="n">
        <x:v>26011.05</x:v>
      </x:c>
    </x:row>
    <x:row r="554">
      <x:c r="A554" t="n">
        <x:v>2023</x:v>
      </x:c>
      <x:c r="B554" t="str">
        <x:v>2023-08</x:v>
      </x:c>
      <x:c r="C554" t="str">
        <x:v>Energy</x:v>
      </x:c>
      <x:c r="D554" t="str">
        <x:v>Hospitality</x:v>
      </x:c>
      <x:c r="E554" t="str">
        <x:v>VIC</x:v>
      </x:c>
      <x:c r="F554" s="11" t="n">
        <x:v>26441.03</x:v>
      </x:c>
      <x:c r="G554" s="13" t="n">
        <x:v>6114</x:v>
      </x:c>
      <x:c r="H554" s="11" t="n">
        <x:v>13495.59</x:v>
      </x:c>
      <x:c r="I554" s="11" t="n">
        <x:v>25247.31</x:v>
      </x:c>
    </x:row>
    <x:row r="555">
      <x:c r="A555" t="n">
        <x:v>2023</x:v>
      </x:c>
      <x:c r="B555" t="str">
        <x:v>2023-08</x:v>
      </x:c>
      <x:c r="C555" t="str">
        <x:v>Energy</x:v>
      </x:c>
      <x:c r="D555" t="str">
        <x:v>Independent retail</x:v>
      </x:c>
      <x:c r="E555" t="str">
        <x:v>NSW</x:v>
      </x:c>
      <x:c r="F555" s="11" t="n">
        <x:v>74652.22</x:v>
      </x:c>
      <x:c r="G555" s="13" t="n">
        <x:v>15636</x:v>
      </x:c>
      <x:c r="H555" s="11" t="n">
        <x:v>41110.94</x:v>
      </x:c>
      <x:c r="I555" s="11" t="n">
        <x:v>73452.18000000001</x:v>
      </x:c>
    </x:row>
    <x:row r="556">
      <x:c r="A556" t="n">
        <x:v>2023</x:v>
      </x:c>
      <x:c r="B556" t="str">
        <x:v>2023-08</x:v>
      </x:c>
      <x:c r="C556" t="str">
        <x:v>Energy</x:v>
      </x:c>
      <x:c r="D556" t="str">
        <x:v>Independent retail</x:v>
      </x:c>
      <x:c r="E556" t="str">
        <x:v>QLD</x:v>
      </x:c>
      <x:c r="F556" s="11" t="n">
        <x:v>74734.8</x:v>
      </x:c>
      <x:c r="G556" s="13" t="n">
        <x:v>15928</x:v>
      </x:c>
      <x:c r="H556" s="11" t="n">
        <x:v>40540.84</x:v>
      </x:c>
      <x:c r="I556" s="11" t="n">
        <x:v>70614.05</x:v>
      </x:c>
    </x:row>
    <x:row r="557">
      <x:c r="A557" t="n">
        <x:v>2023</x:v>
      </x:c>
      <x:c r="B557" t="str">
        <x:v>2023-08</x:v>
      </x:c>
      <x:c r="C557" t="str">
        <x:v>Energy</x:v>
      </x:c>
      <x:c r="D557" t="str">
        <x:v>Independent retail</x:v>
      </x:c>
      <x:c r="E557" t="str">
        <x:v>VIC</x:v>
      </x:c>
      <x:c r="F557" s="11" t="n">
        <x:v>70408.95</x:v>
      </x:c>
      <x:c r="G557" s="13" t="n">
        <x:v>14660</x:v>
      </x:c>
      <x:c r="H557" s="11" t="n">
        <x:v>38675.11</x:v>
      </x:c>
      <x:c r="I557" s="11" t="n">
        <x:v>68505.28</x:v>
      </x:c>
    </x:row>
    <x:row r="558">
      <x:c r="A558" t="n">
        <x:v>2023</x:v>
      </x:c>
      <x:c r="B558" t="str">
        <x:v>2023-08</x:v>
      </x:c>
      <x:c r="C558" t="str">
        <x:v>Energy</x:v>
      </x:c>
      <x:c r="D558" t="str">
        <x:v>Petrol</x:v>
      </x:c>
      <x:c r="E558" t="str">
        <x:v>NSW</x:v>
      </x:c>
      <x:c r="F558" s="11" t="n">
        <x:v>82364.65</x:v>
      </x:c>
      <x:c r="G558" s="13" t="n">
        <x:v>16246</x:v>
      </x:c>
      <x:c r="H558" s="11" t="n">
        <x:v>47694.61</x:v>
      </x:c>
      <x:c r="I558" s="11" t="n">
        <x:v>79158.06999999999</x:v>
      </x:c>
    </x:row>
    <x:row r="559">
      <x:c r="A559" t="n">
        <x:v>2023</x:v>
      </x:c>
      <x:c r="B559" t="str">
        <x:v>2023-08</x:v>
      </x:c>
      <x:c r="C559" t="str">
        <x:v>Energy</x:v>
      </x:c>
      <x:c r="D559" t="str">
        <x:v>Petrol</x:v>
      </x:c>
      <x:c r="E559" t="str">
        <x:v>QLD</x:v>
      </x:c>
      <x:c r="F559" s="11" t="n">
        <x:v>82024.25</x:v>
      </x:c>
      <x:c r="G559" s="13" t="n">
        <x:v>16033</x:v>
      </x:c>
      <x:c r="H559" s="11" t="n">
        <x:v>48438.41</x:v>
      </x:c>
      <x:c r="I559" s="11" t="n">
        <x:v>76116.2</x:v>
      </x:c>
    </x:row>
    <x:row r="560">
      <x:c r="A560" t="n">
        <x:v>2023</x:v>
      </x:c>
      <x:c r="B560" t="str">
        <x:v>2023-08</x:v>
      </x:c>
      <x:c r="C560" t="str">
        <x:v>Energy</x:v>
      </x:c>
      <x:c r="D560" t="str">
        <x:v>Petrol</x:v>
      </x:c>
      <x:c r="E560" t="str">
        <x:v>VIC</x:v>
      </x:c>
      <x:c r="F560" s="11" t="n">
        <x:v>77475.66</x:v>
      </x:c>
      <x:c r="G560" s="13" t="n">
        <x:v>15247</x:v>
      </x:c>
      <x:c r="H560" s="11" t="n">
        <x:v>45067.06</x:v>
      </x:c>
      <x:c r="I560" s="11" t="n">
        <x:v>73832.93000000001</x:v>
      </x:c>
    </x:row>
    <x:row r="561">
      <x:c r="A561" t="n">
        <x:v>2023</x:v>
      </x:c>
      <x:c r="B561" t="str">
        <x:v>2023-08</x:v>
      </x:c>
      <x:c r="C561" t="str">
        <x:v>Sparkling</x:v>
      </x:c>
      <x:c r="D561" t="str">
        <x:v>Convenience</x:v>
      </x:c>
      <x:c r="E561" t="str">
        <x:v>NSW</x:v>
      </x:c>
      <x:c r="F561" s="11" t="n">
        <x:v>109185.25</x:v>
      </x:c>
      <x:c r="G561" s="13" t="n">
        <x:v>27571</x:v>
      </x:c>
      <x:c r="H561" s="11" t="n">
        <x:v>59709.03</x:v>
      </x:c>
      <x:c r="I561" s="11" t="n">
        <x:v>105543.39</x:v>
      </x:c>
    </x:row>
    <x:row r="562">
      <x:c r="A562" t="n">
        <x:v>2023</x:v>
      </x:c>
      <x:c r="B562" t="str">
        <x:v>2023-08</x:v>
      </x:c>
      <x:c r="C562" t="str">
        <x:v>Sparkling</x:v>
      </x:c>
      <x:c r="D562" t="str">
        <x:v>Convenience</x:v>
      </x:c>
      <x:c r="E562" t="str">
        <x:v>QLD</x:v>
      </x:c>
      <x:c r="F562" s="11" t="n">
        <x:v>106559.5</x:v>
      </x:c>
      <x:c r="G562" s="13" t="n">
        <x:v>26936</x:v>
      </x:c>
      <x:c r="H562" s="11" t="n">
        <x:v>58355.12</x:v>
      </x:c>
      <x:c r="I562" s="11" t="n">
        <x:v>101486.69</x:v>
      </x:c>
    </x:row>
    <x:row r="563">
      <x:c r="A563" t="n">
        <x:v>2023</x:v>
      </x:c>
      <x:c r="B563" t="str">
        <x:v>2023-08</x:v>
      </x:c>
      <x:c r="C563" t="str">
        <x:v>Sparkling</x:v>
      </x:c>
      <x:c r="D563" t="str">
        <x:v>Convenience</x:v>
      </x:c>
      <x:c r="E563" t="str">
        <x:v>VIC</x:v>
      </x:c>
      <x:c r="F563" s="11" t="n">
        <x:v>101371.69</x:v>
      </x:c>
      <x:c r="G563" s="13" t="n">
        <x:v>25604</x:v>
      </x:c>
      <x:c r="H563" s="11" t="n">
        <x:v>55536.49</x:v>
      </x:c>
      <x:c r="I563" s="11" t="n">
        <x:v>98451.82</x:v>
      </x:c>
    </x:row>
    <x:row r="564">
      <x:c r="A564" t="n">
        <x:v>2023</x:v>
      </x:c>
      <x:c r="B564" t="str">
        <x:v>2023-08</x:v>
      </x:c>
      <x:c r="C564" t="str">
        <x:v>Sparkling</x:v>
      </x:c>
      <x:c r="D564" t="str">
        <x:v>Grocery</x:v>
      </x:c>
      <x:c r="E564" t="str">
        <x:v>NSW</x:v>
      </x:c>
      <x:c r="F564" s="11" t="n">
        <x:v>270982.8</x:v>
      </x:c>
      <x:c r="G564" s="13" t="n">
        <x:v>77666</x:v>
      </x:c>
      <x:c r="H564" s="11" t="n">
        <x:v>132513.04</x:v>
      </x:c>
      <x:c r="I564" s="11" t="n">
        <x:v>262557.93</x:v>
      </x:c>
    </x:row>
    <x:row r="565">
      <x:c r="A565" t="n">
        <x:v>2023</x:v>
      </x:c>
      <x:c r="B565" t="str">
        <x:v>2023-08</x:v>
      </x:c>
      <x:c r="C565" t="str">
        <x:v>Sparkling</x:v>
      </x:c>
      <x:c r="D565" t="str">
        <x:v>Grocery</x:v>
      </x:c>
      <x:c r="E565" t="str">
        <x:v>QLD</x:v>
      </x:c>
      <x:c r="F565" s="11" t="n">
        <x:v>263123.51</x:v>
      </x:c>
      <x:c r="G565" s="13" t="n">
        <x:v>76309</x:v>
      </x:c>
      <x:c r="H565" s="11" t="n">
        <x:v>126216.79</x:v>
      </x:c>
      <x:c r="I565" s="11" t="n">
        <x:v>252460.83</x:v>
      </x:c>
    </x:row>
    <x:row r="566">
      <x:c r="A566" t="n">
        <x:v>2023</x:v>
      </x:c>
      <x:c r="B566" t="str">
        <x:v>2023-08</x:v>
      </x:c>
      <x:c r="C566" t="str">
        <x:v>Sparkling</x:v>
      </x:c>
      <x:c r="D566" t="str">
        <x:v>Grocery</x:v>
      </x:c>
      <x:c r="E566" t="str">
        <x:v>VIC</x:v>
      </x:c>
      <x:c r="F566" s="11" t="n">
        <x:v>248792.75</x:v>
      </x:c>
      <x:c r="G566" s="13" t="n">
        <x:v>70767</x:v>
      </x:c>
      <x:c r="H566" s="11" t="n">
        <x:v>121744.99</x:v>
      </x:c>
      <x:c r="I566" s="11" t="n">
        <x:v>244881.3</x:v>
      </x:c>
    </x:row>
    <x:row r="567">
      <x:c r="A567" t="n">
        <x:v>2023</x:v>
      </x:c>
      <x:c r="B567" t="str">
        <x:v>2023-08</x:v>
      </x:c>
      <x:c r="C567" t="str">
        <x:v>Sparkling</x:v>
      </x:c>
      <x:c r="D567" t="str">
        <x:v>Hospitality</x:v>
      </x:c>
      <x:c r="E567" t="str">
        <x:v>NSW</x:v>
      </x:c>
      <x:c r="F567" s="11" t="n">
        <x:v>34068.52</x:v>
      </x:c>
      <x:c r="G567" s="13" t="n">
        <x:v>10537</x:v>
      </x:c>
      <x:c r="H567" s="11" t="n">
        <x:v>15158.3</x:v>
      </x:c>
      <x:c r="I567" s="11" t="n">
        <x:v>32824.22</x:v>
      </x:c>
    </x:row>
    <x:row r="568">
      <x:c r="A568" t="n">
        <x:v>2023</x:v>
      </x:c>
      <x:c r="B568" t="str">
        <x:v>2023-08</x:v>
      </x:c>
      <x:c r="C568" t="str">
        <x:v>Sparkling</x:v>
      </x:c>
      <x:c r="D568" t="str">
        <x:v>Hospitality</x:v>
      </x:c>
      <x:c r="E568" t="str">
        <x:v>QLD</x:v>
      </x:c>
      <x:c r="F568" s="11" t="n">
        <x:v>33662.47</x:v>
      </x:c>
      <x:c r="G568" s="13" t="n">
        <x:v>10693</x:v>
      </x:c>
      <x:c r="H568" s="11" t="n">
        <x:v>14446.55</x:v>
      </x:c>
      <x:c r="I568" s="11" t="n">
        <x:v>31559.65</x:v>
      </x:c>
    </x:row>
    <x:row r="569">
      <x:c r="A569" t="n">
        <x:v>2023</x:v>
      </x:c>
      <x:c r="B569" t="str">
        <x:v>2023-08</x:v>
      </x:c>
      <x:c r="C569" t="str">
        <x:v>Sparkling</x:v>
      </x:c>
      <x:c r="D569" t="str">
        <x:v>Hospitality</x:v>
      </x:c>
      <x:c r="E569" t="str">
        <x:v>VIC</x:v>
      </x:c>
      <x:c r="F569" s="11" t="n">
        <x:v>31495.92</x:v>
      </x:c>
      <x:c r="G569" s="13" t="n">
        <x:v>9878</x:v>
      </x:c>
      <x:c r="H569" s="11" t="n">
        <x:v>13714.82</x:v>
      </x:c>
      <x:c r="I569" s="11" t="n">
        <x:v>30630.83</x:v>
      </x:c>
    </x:row>
    <x:row r="570">
      <x:c r="A570" t="n">
        <x:v>2023</x:v>
      </x:c>
      <x:c r="B570" t="str">
        <x:v>2023-08</x:v>
      </x:c>
      <x:c r="C570" t="str">
        <x:v>Sparkling</x:v>
      </x:c>
      <x:c r="D570" t="str">
        <x:v>Independent retail</x:v>
      </x:c>
      <x:c r="E570" t="str">
        <x:v>NSW</x:v>
      </x:c>
      <x:c r="F570" s="11" t="n">
        <x:v>91564.29</x:v>
      </x:c>
      <x:c r="G570" s="13" t="n">
        <x:v>26026</x:v>
      </x:c>
      <x:c r="H570" s="11" t="n">
        <x:v>44866.83</x:v>
      </x:c>
      <x:c r="I570" s="11" t="n">
        <x:v>89232.11</x:v>
      </x:c>
    </x:row>
    <x:row r="571">
      <x:c r="A571" t="n">
        <x:v>2023</x:v>
      </x:c>
      <x:c r="B571" t="str">
        <x:v>2023-08</x:v>
      </x:c>
      <x:c r="C571" t="str">
        <x:v>Sparkling</x:v>
      </x:c>
      <x:c r="D571" t="str">
        <x:v>Independent retail</x:v>
      </x:c>
      <x:c r="E571" t="str">
        <x:v>QLD</x:v>
      </x:c>
      <x:c r="F571" s="11" t="n">
        <x:v>89230.65</x:v>
      </x:c>
      <x:c r="G571" s="13" t="n">
        <x:v>25272</x:v>
      </x:c>
      <x:c r="H571" s="11" t="n">
        <x:v>44241.03</x:v>
      </x:c>
      <x:c r="I571" s="11" t="n">
        <x:v>85818.83</x:v>
      </x:c>
    </x:row>
    <x:row r="572">
      <x:c r="A572" t="n">
        <x:v>2023</x:v>
      </x:c>
      <x:c r="B572" t="str">
        <x:v>2023-08</x:v>
      </x:c>
      <x:c r="C572" t="str">
        <x:v>Sparkling</x:v>
      </x:c>
      <x:c r="D572" t="str">
        <x:v>Independent retail</x:v>
      </x:c>
      <x:c r="E572" t="str">
        <x:v>VIC</x:v>
      </x:c>
      <x:c r="F572" s="11" t="n">
        <x:v>86012.72</x:v>
      </x:c>
      <x:c r="G572" s="13" t="n">
        <x:v>24470</x:v>
      </x:c>
      <x:c r="H572" s="11" t="n">
        <x:v>42231.56</x:v>
      </x:c>
      <x:c r="I572" s="11" t="n">
        <x:v>83255.6</x:v>
      </x:c>
    </x:row>
    <x:row r="573">
      <x:c r="A573" t="n">
        <x:v>2023</x:v>
      </x:c>
      <x:c r="B573" t="str">
        <x:v>2023-08</x:v>
      </x:c>
      <x:c r="C573" t="str">
        <x:v>Sparkling</x:v>
      </x:c>
      <x:c r="D573" t="str">
        <x:v>Petrol</x:v>
      </x:c>
      <x:c r="E573" t="str">
        <x:v>NSW</x:v>
      </x:c>
      <x:c r="F573" s="11" t="n">
        <x:v>99168.35</x:v>
      </x:c>
      <x:c r="G573" s="13" t="n">
        <x:v>25669</x:v>
      </x:c>
      <x:c r="H573" s="11" t="n">
        <x:v>53238.47</x:v>
      </x:c>
      <x:c r="I573" s="11" t="n">
        <x:v>96282.21</x:v>
      </x:c>
    </x:row>
    <x:row r="574">
      <x:c r="A574" t="n">
        <x:v>2023</x:v>
      </x:c>
      <x:c r="B574" t="str">
        <x:v>2023-08</x:v>
      </x:c>
      <x:c r="C574" t="str">
        <x:v>Sparkling</x:v>
      </x:c>
      <x:c r="D574" t="str">
        <x:v>Petrol</x:v>
      </x:c>
      <x:c r="E574" t="str">
        <x:v>QLD</x:v>
      </x:c>
      <x:c r="F574" s="11" t="n">
        <x:v>95603.56999999999</x:v>
      </x:c>
      <x:c r="G574" s="13" t="n">
        <x:v>24411</x:v>
      </x:c>
      <x:c r="H574" s="11" t="n">
        <x:v>51991.29</x:v>
      </x:c>
      <x:c r="I574" s="11" t="n">
        <x:v>92582.72</x:v>
      </x:c>
    </x:row>
    <x:row r="575">
      <x:c r="A575" t="n">
        <x:v>2023</x:v>
      </x:c>
      <x:c r="B575" t="str">
        <x:v>2023-08</x:v>
      </x:c>
      <x:c r="C575" t="str">
        <x:v>Sparkling</x:v>
      </x:c>
      <x:c r="D575" t="str">
        <x:v>Petrol</x:v>
      </x:c>
      <x:c r="E575" t="str">
        <x:v>VIC</x:v>
      </x:c>
      <x:c r="F575" s="11" t="n">
        <x:v>90733.52</x:v>
      </x:c>
      <x:c r="G575" s="13" t="n">
        <x:v>23609</x:v>
      </x:c>
      <x:c r="H575" s="11" t="n">
        <x:v>49095</x:v>
      </x:c>
      <x:c r="I575" s="11" t="n">
        <x:v>89793.8</x:v>
      </x:c>
    </x:row>
    <x:row r="576">
      <x:c r="A576" t="n">
        <x:v>2023</x:v>
      </x:c>
      <x:c r="B576" t="str">
        <x:v>2023-08</x:v>
      </x:c>
      <x:c r="C576" t="str">
        <x:v>Sports</x:v>
      </x:c>
      <x:c r="D576" t="str">
        <x:v>Convenience</x:v>
      </x:c>
      <x:c r="E576" t="str">
        <x:v>NSW</x:v>
      </x:c>
      <x:c r="F576" s="11" t="n">
        <x:v>61809.44</x:v>
      </x:c>
      <x:c r="G576" s="13" t="n">
        <x:v>12581</x:v>
      </x:c>
      <x:c r="H576" s="11" t="n">
        <x:v>32693.46</x:v>
      </x:c>
      <x:c r="I576" s="11" t="n">
        <x:v>58306.87</x:v>
      </x:c>
    </x:row>
    <x:row r="577">
      <x:c r="A577" t="n">
        <x:v>2023</x:v>
      </x:c>
      <x:c r="B577" t="str">
        <x:v>2023-08</x:v>
      </x:c>
      <x:c r="C577" t="str">
        <x:v>Sports</x:v>
      </x:c>
      <x:c r="D577" t="str">
        <x:v>Convenience</x:v>
      </x:c>
      <x:c r="E577" t="str">
        <x:v>QLD</x:v>
      </x:c>
      <x:c r="F577" s="11" t="n">
        <x:v>58283.71</x:v>
      </x:c>
      <x:c r="G577" s="13" t="n">
        <x:v>12175</x:v>
      </x:c>
      <x:c r="H577" s="11" t="n">
        <x:v>30571.31</x:v>
      </x:c>
      <x:c r="I577" s="11" t="n">
        <x:v>56050.26</x:v>
      </x:c>
    </x:row>
    <x:row r="578">
      <x:c r="A578" t="n">
        <x:v>2023</x:v>
      </x:c>
      <x:c r="B578" t="str">
        <x:v>2023-08</x:v>
      </x:c>
      <x:c r="C578" t="str">
        <x:v>Sports</x:v>
      </x:c>
      <x:c r="D578" t="str">
        <x:v>Convenience</x:v>
      </x:c>
      <x:c r="E578" t="str">
        <x:v>VIC</x:v>
      </x:c>
      <x:c r="F578" s="11" t="n">
        <x:v>55975.73</x:v>
      </x:c>
      <x:c r="G578" s="13" t="n">
        <x:v>11578</x:v>
      </x:c>
      <x:c r="H578" s="11" t="n">
        <x:v>29364.48</x:v>
      </x:c>
      <x:c r="I578" s="11" t="n">
        <x:v>54394.66</x:v>
      </x:c>
    </x:row>
    <x:row r="579">
      <x:c r="A579" t="n">
        <x:v>2023</x:v>
      </x:c>
      <x:c r="B579" t="str">
        <x:v>2023-08</x:v>
      </x:c>
      <x:c r="C579" t="str">
        <x:v>Sports</x:v>
      </x:c>
      <x:c r="D579" t="str">
        <x:v>Grocery</x:v>
      </x:c>
      <x:c r="E579" t="str">
        <x:v>NSW</x:v>
      </x:c>
      <x:c r="F579" s="11" t="n">
        <x:v>147409.67</x:v>
      </x:c>
      <x:c r="G579" s="13" t="n">
        <x:v>34013</x:v>
      </x:c>
      <x:c r="H579" s="11" t="n">
        <x:v>70505.61</x:v>
      </x:c>
      <x:c r="I579" s="11" t="n">
        <x:v>144717.15</x:v>
      </x:c>
    </x:row>
    <x:row r="580">
      <x:c r="A580" t="n">
        <x:v>2023</x:v>
      </x:c>
      <x:c r="B580" t="str">
        <x:v>2023-08</x:v>
      </x:c>
      <x:c r="C580" t="str">
        <x:v>Sports</x:v>
      </x:c>
      <x:c r="D580" t="str">
        <x:v>Grocery</x:v>
      </x:c>
      <x:c r="E580" t="str">
        <x:v>QLD</x:v>
      </x:c>
      <x:c r="F580" s="11" t="n">
        <x:v>144598.09</x:v>
      </x:c>
      <x:c r="G580" s="13" t="n">
        <x:v>33507</x:v>
      </x:c>
      <x:c r="H580" s="11" t="n">
        <x:v>67010.83</x:v>
      </x:c>
      <x:c r="I580" s="11" t="n">
        <x:v>139123.39</x:v>
      </x:c>
    </x:row>
    <x:row r="581">
      <x:c r="A581" t="n">
        <x:v>2023</x:v>
      </x:c>
      <x:c r="B581" t="str">
        <x:v>2023-08</x:v>
      </x:c>
      <x:c r="C581" t="str">
        <x:v>Sports</x:v>
      </x:c>
      <x:c r="D581" t="str">
        <x:v>Grocery</x:v>
      </x:c>
      <x:c r="E581" t="str">
        <x:v>VIC</x:v>
      </x:c>
      <x:c r="F581" s="11" t="n">
        <x:v>139760.33</x:v>
      </x:c>
      <x:c r="G581" s="13" t="n">
        <x:v>31935</x:v>
      </x:c>
      <x:c r="H581" s="11" t="n">
        <x:v>66510.66</x:v>
      </x:c>
      <x:c r="I581" s="11" t="n">
        <x:v>134960.44</x:v>
      </x:c>
    </x:row>
    <x:row r="582">
      <x:c r="A582" t="n">
        <x:v>2023</x:v>
      </x:c>
      <x:c r="B582" t="str">
        <x:v>2023-08</x:v>
      </x:c>
      <x:c r="C582" t="str">
        <x:v>Sports</x:v>
      </x:c>
      <x:c r="D582" t="str">
        <x:v>Hospitality</x:v>
      </x:c>
      <x:c r="E582" t="str">
        <x:v>NSW</x:v>
      </x:c>
      <x:c r="F582" s="11" t="n">
        <x:v>19351.92</x:v>
      </x:c>
      <x:c r="G582" s="13" t="n">
        <x:v>4808</x:v>
      </x:c>
      <x:c r="H582" s="11" t="n">
        <x:v>8327.15</x:v>
      </x:c>
      <x:c r="I582" s="11" t="n">
        <x:v>18125.21</x:v>
      </x:c>
    </x:row>
    <x:row r="583">
      <x:c r="A583" t="n">
        <x:v>2023</x:v>
      </x:c>
      <x:c r="B583" t="str">
        <x:v>2023-08</x:v>
      </x:c>
      <x:c r="C583" t="str">
        <x:v>Sports</x:v>
      </x:c>
      <x:c r="D583" t="str">
        <x:v>Hospitality</x:v>
      </x:c>
      <x:c r="E583" t="str">
        <x:v>QLD</x:v>
      </x:c>
      <x:c r="F583" s="11" t="n">
        <x:v>18251.48</x:v>
      </x:c>
      <x:c r="G583" s="13" t="n">
        <x:v>4752</x:v>
      </x:c>
      <x:c r="H583" s="11" t="n">
        <x:v>7361.17</x:v>
      </x:c>
      <x:c r="I583" s="11" t="n">
        <x:v>17430.86</x:v>
      </x:c>
    </x:row>
    <x:row r="584">
      <x:c r="A584" t="n">
        <x:v>2023</x:v>
      </x:c>
      <x:c r="B584" t="str">
        <x:v>2023-08</x:v>
      </x:c>
      <x:c r="C584" t="str">
        <x:v>Sports</x:v>
      </x:c>
      <x:c r="D584" t="str">
        <x:v>Hospitality</x:v>
      </x:c>
      <x:c r="E584" t="str">
        <x:v>VIC</x:v>
      </x:c>
      <x:c r="F584" s="11" t="n">
        <x:v>17451.39</x:v>
      </x:c>
      <x:c r="G584" s="13" t="n">
        <x:v>4386</x:v>
      </x:c>
      <x:c r="H584" s="11" t="n">
        <x:v>7277.77</x:v>
      </x:c>
      <x:c r="I584" s="11" t="n">
        <x:v>16898.52</x:v>
      </x:c>
    </x:row>
    <x:row r="585">
      <x:c r="A585" t="n">
        <x:v>2023</x:v>
      </x:c>
      <x:c r="B585" t="str">
        <x:v>2023-08</x:v>
      </x:c>
      <x:c r="C585" t="str">
        <x:v>Sports</x:v>
      </x:c>
      <x:c r="D585" t="str">
        <x:v>Independent retail</x:v>
      </x:c>
      <x:c r="E585" t="str">
        <x:v>NSW</x:v>
      </x:c>
      <x:c r="F585" s="11" t="n">
        <x:v>50857.51</x:v>
      </x:c>
      <x:c r="G585" s="13" t="n">
        <x:v>12031</x:v>
      </x:c>
      <x:c r="H585" s="11" t="n">
        <x:v>23646.62</x:v>
      </x:c>
      <x:c r="I585" s="11" t="n">
        <x:v>49210.02</x:v>
      </x:c>
    </x:row>
    <x:row r="586">
      <x:c r="A586" t="n">
        <x:v>2023</x:v>
      </x:c>
      <x:c r="B586" t="str">
        <x:v>2023-08</x:v>
      </x:c>
      <x:c r="C586" t="str">
        <x:v>Sports</x:v>
      </x:c>
      <x:c r="D586" t="str">
        <x:v>Independent retail</x:v>
      </x:c>
      <x:c r="E586" t="str">
        <x:v>QLD</x:v>
      </x:c>
      <x:c r="F586" s="11" t="n">
        <x:v>49046.39</x:v>
      </x:c>
      <x:c r="G586" s="13" t="n">
        <x:v>11549</x:v>
      </x:c>
      <x:c r="H586" s="11" t="n">
        <x:v>23157.47</x:v>
      </x:c>
      <x:c r="I586" s="11" t="n">
        <x:v>47299.11</x:v>
      </x:c>
    </x:row>
    <x:row r="587">
      <x:c r="A587" t="n">
        <x:v>2023</x:v>
      </x:c>
      <x:c r="B587" t="str">
        <x:v>2023-08</x:v>
      </x:c>
      <x:c r="C587" t="str">
        <x:v>Sports</x:v>
      </x:c>
      <x:c r="D587" t="str">
        <x:v>Independent retail</x:v>
      </x:c>
      <x:c r="E587" t="str">
        <x:v>VIC</x:v>
      </x:c>
      <x:c r="F587" s="11" t="n">
        <x:v>48474.86</x:v>
      </x:c>
      <x:c r="G587" s="13" t="n">
        <x:v>11344</x:v>
      </x:c>
      <x:c r="H587" s="11" t="n">
        <x:v>22551.92</x:v>
      </x:c>
      <x:c r="I587" s="11" t="n">
        <x:v>45888.15</x:v>
      </x:c>
    </x:row>
    <x:row r="588">
      <x:c r="A588" t="n">
        <x:v>2023</x:v>
      </x:c>
      <x:c r="B588" t="str">
        <x:v>2023-08</x:v>
      </x:c>
      <x:c r="C588" t="str">
        <x:v>Sports</x:v>
      </x:c>
      <x:c r="D588" t="str">
        <x:v>Petrol</x:v>
      </x:c>
      <x:c r="E588" t="str">
        <x:v>NSW</x:v>
      </x:c>
      <x:c r="F588" s="11" t="n">
        <x:v>54866.35</x:v>
      </x:c>
      <x:c r="G588" s="13" t="n">
        <x:v>11715</x:v>
      </x:c>
      <x:c r="H588" s="11" t="n">
        <x:v>28306.03</x:v>
      </x:c>
      <x:c r="I588" s="11" t="n">
        <x:v>53294.29</x:v>
      </x:c>
    </x:row>
    <x:row r="589">
      <x:c r="A589" t="n">
        <x:v>2023</x:v>
      </x:c>
      <x:c r="B589" t="str">
        <x:v>2023-08</x:v>
      </x:c>
      <x:c r="C589" t="str">
        <x:v>Sports</x:v>
      </x:c>
      <x:c r="D589" t="str">
        <x:v>Petrol</x:v>
      </x:c>
      <x:c r="E589" t="str">
        <x:v>QLD</x:v>
      </x:c>
      <x:c r="F589" s="11" t="n">
        <x:v>52075.71</x:v>
      </x:c>
      <x:c r="G589" s="13" t="n">
        <x:v>10765</x:v>
      </x:c>
      <x:c r="H589" s="11" t="n">
        <x:v>27784.06</x:v>
      </x:c>
      <x:c r="I589" s="11" t="n">
        <x:v>51244.39</x:v>
      </x:c>
    </x:row>
    <x:row r="590">
      <x:c r="A590" t="n">
        <x:v>2023</x:v>
      </x:c>
      <x:c r="B590" t="str">
        <x:v>2023-08</x:v>
      </x:c>
      <x:c r="C590" t="str">
        <x:v>Sports</x:v>
      </x:c>
      <x:c r="D590" t="str">
        <x:v>Petrol</x:v>
      </x:c>
      <x:c r="E590" t="str">
        <x:v>VIC</x:v>
      </x:c>
      <x:c r="F590" s="11" t="n">
        <x:v>49664.85</x:v>
      </x:c>
      <x:c r="G590" s="13" t="n">
        <x:v>10319</x:v>
      </x:c>
      <x:c r="H590" s="11" t="n">
        <x:v>26196.1</x:v>
      </x:c>
      <x:c r="I590" s="11" t="n">
        <x:v>49713.7</x:v>
      </x:c>
    </x:row>
    <x:row r="591">
      <x:c r="A591" t="n">
        <x:v>2023</x:v>
      </x:c>
      <x:c r="B591" t="str">
        <x:v>2023-08</x:v>
      </x:c>
      <x:c r="C591" t="str">
        <x:v>Water</x:v>
      </x:c>
      <x:c r="D591" t="str">
        <x:v>Convenience</x:v>
      </x:c>
      <x:c r="E591" t="str">
        <x:v>NSW</x:v>
      </x:c>
      <x:c r="F591" s="11" t="n">
        <x:v>69757.11</x:v>
      </x:c>
      <x:c r="G591" s="13" t="n">
        <x:v>22468</x:v>
      </x:c>
      <x:c r="H591" s="11" t="n">
        <x:v>34703.55</x:v>
      </x:c>
      <x:c r="I591" s="11" t="n">
        <x:v>69435.44</x:v>
      </x:c>
    </x:row>
    <x:row r="592">
      <x:c r="A592" t="n">
        <x:v>2023</x:v>
      </x:c>
      <x:c r="B592" t="str">
        <x:v>2023-08</x:v>
      </x:c>
      <x:c r="C592" t="str">
        <x:v>Water</x:v>
      </x:c>
      <x:c r="D592" t="str">
        <x:v>Convenience</x:v>
      </x:c>
      <x:c r="E592" t="str">
        <x:v>QLD</x:v>
      </x:c>
      <x:c r="F592" s="11" t="n">
        <x:v>67996.83</x:v>
      </x:c>
      <x:c r="G592" s="13" t="n">
        <x:v>21093</x:v>
      </x:c>
      <x:c r="H592" s="11" t="n">
        <x:v>34393.59</x:v>
      </x:c>
      <x:c r="I592" s="11" t="n">
        <x:v>66766.19</x:v>
      </x:c>
    </x:row>
    <x:row r="593">
      <x:c r="A593" t="n">
        <x:v>2023</x:v>
      </x:c>
      <x:c r="B593" t="str">
        <x:v>2023-08</x:v>
      </x:c>
      <x:c r="C593" t="str">
        <x:v>Water</x:v>
      </x:c>
      <x:c r="D593" t="str">
        <x:v>Convenience</x:v>
      </x:c>
      <x:c r="E593" t="str">
        <x:v>VIC</x:v>
      </x:c>
      <x:c r="F593" s="11" t="n">
        <x:v>67384.65</x:v>
      </x:c>
      <x:c r="G593" s="13" t="n">
        <x:v>21200</x:v>
      </x:c>
      <x:c r="H593" s="11" t="n">
        <x:v>34105.45</x:v>
      </x:c>
      <x:c r="I593" s="11" t="n">
        <x:v>64751.18</x:v>
      </x:c>
    </x:row>
    <x:row r="594">
      <x:c r="A594" t="n">
        <x:v>2023</x:v>
      </x:c>
      <x:c r="B594" t="str">
        <x:v>2023-08</x:v>
      </x:c>
      <x:c r="C594" t="str">
        <x:v>Water</x:v>
      </x:c>
      <x:c r="D594" t="str">
        <x:v>Grocery</x:v>
      </x:c>
      <x:c r="E594" t="str">
        <x:v>NSW</x:v>
      </x:c>
      <x:c r="F594" s="11" t="n">
        <x:v>175905.55</x:v>
      </x:c>
      <x:c r="G594" s="13" t="n">
        <x:v>67216</x:v>
      </x:c>
      <x:c r="H594" s="11" t="n">
        <x:v>70237.91</x:v>
      </x:c>
      <x:c r="I594" s="11" t="n">
        <x:v>173270.11</x:v>
      </x:c>
    </x:row>
    <x:row r="595">
      <x:c r="A595" t="n">
        <x:v>2023</x:v>
      </x:c>
      <x:c r="B595" t="str">
        <x:v>2023-08</x:v>
      </x:c>
      <x:c r="C595" t="str">
        <x:v>Water</x:v>
      </x:c>
      <x:c r="D595" t="str">
        <x:v>Grocery</x:v>
      </x:c>
      <x:c r="E595" t="str">
        <x:v>QLD</x:v>
      </x:c>
      <x:c r="F595" s="11" t="n">
        <x:v>171324.92</x:v>
      </x:c>
      <x:c r="G595" s="13" t="n">
        <x:v>64919</x:v>
      </x:c>
      <x:c r="H595" s="11" t="n">
        <x:v>69825.32</x:v>
      </x:c>
      <x:c r="I595" s="11" t="n">
        <x:v>166590.54</x:v>
      </x:c>
    </x:row>
    <x:row r="596">
      <x:c r="A596" t="n">
        <x:v>2023</x:v>
      </x:c>
      <x:c r="B596" t="str">
        <x:v>2023-08</x:v>
      </x:c>
      <x:c r="C596" t="str">
        <x:v>Water</x:v>
      </x:c>
      <x:c r="D596" t="str">
        <x:v>Grocery</x:v>
      </x:c>
      <x:c r="E596" t="str">
        <x:v>VIC</x:v>
      </x:c>
      <x:c r="F596" s="11" t="n">
        <x:v>162247.47</x:v>
      </x:c>
      <x:c r="G596" s="13" t="n">
        <x:v>62044</x:v>
      </x:c>
      <x:c r="H596" s="11" t="n">
        <x:v>64682.79</x:v>
      </x:c>
      <x:c r="I596" s="11" t="n">
        <x:v>161596.4</x:v>
      </x:c>
    </x:row>
    <x:row r="597">
      <x:c r="A597" t="n">
        <x:v>2023</x:v>
      </x:c>
      <x:c r="B597" t="str">
        <x:v>2023-08</x:v>
      </x:c>
      <x:c r="C597" t="str">
        <x:v>Water</x:v>
      </x:c>
      <x:c r="D597" t="str">
        <x:v>Hospitality</x:v>
      </x:c>
      <x:c r="E597" t="str">
        <x:v>NSW</x:v>
      </x:c>
      <x:c r="F597" s="11" t="n">
        <x:v>22650.28</x:v>
      </x:c>
      <x:c r="G597" s="13" t="n">
        <x:v>9447</x:v>
      </x:c>
      <x:c r="H597" s="11" t="n">
        <x:v>7851.24</x:v>
      </x:c>
      <x:c r="I597" s="11" t="n">
        <x:v>21652.91</x:v>
      </x:c>
    </x:row>
    <x:row r="598">
      <x:c r="A598" t="n">
        <x:v>2023</x:v>
      </x:c>
      <x:c r="B598" t="str">
        <x:v>2023-08</x:v>
      </x:c>
      <x:c r="C598" t="str">
        <x:v>Water</x:v>
      </x:c>
      <x:c r="D598" t="str">
        <x:v>Hospitality</x:v>
      </x:c>
      <x:c r="E598" t="str">
        <x:v>QLD</x:v>
      </x:c>
      <x:c r="F598" s="11" t="n">
        <x:v>21114.37</x:v>
      </x:c>
      <x:c r="G598" s="13" t="n">
        <x:v>8480</x:v>
      </x:c>
      <x:c r="H598" s="11" t="n">
        <x:v>7791.65</x:v>
      </x:c>
      <x:c r="I598" s="11" t="n">
        <x:v>20821.3</x:v>
      </x:c>
    </x:row>
    <x:row r="599">
      <x:c r="A599" t="n">
        <x:v>2023</x:v>
      </x:c>
      <x:c r="B599" t="str">
        <x:v>2023-08</x:v>
      </x:c>
      <x:c r="C599" t="str">
        <x:v>Water</x:v>
      </x:c>
      <x:c r="D599" t="str">
        <x:v>Hospitality</x:v>
      </x:c>
      <x:c r="E599" t="str">
        <x:v>VIC</x:v>
      </x:c>
      <x:c r="F599" s="11" t="n">
        <x:v>21013.27</x:v>
      </x:c>
      <x:c r="G599" s="13" t="n">
        <x:v>8705</x:v>
      </x:c>
      <x:c r="H599" s="11" t="n">
        <x:v>7450.67</x:v>
      </x:c>
      <x:c r="I599" s="11" t="n">
        <x:v>20205.06</x:v>
      </x:c>
    </x:row>
    <x:row r="600">
      <x:c r="A600" t="n">
        <x:v>2023</x:v>
      </x:c>
      <x:c r="B600" t="str">
        <x:v>2023-08</x:v>
      </x:c>
      <x:c r="C600" t="str">
        <x:v>Water</x:v>
      </x:c>
      <x:c r="D600" t="str">
        <x:v>Independent retail</x:v>
      </x:c>
      <x:c r="E600" t="str">
        <x:v>NSW</x:v>
      </x:c>
      <x:c r="F600" s="11" t="n">
        <x:v>60274.31</x:v>
      </x:c>
      <x:c r="G600" s="13" t="n">
        <x:v>21599</x:v>
      </x:c>
      <x:c r="H600" s="11" t="n">
        <x:v>26721.71</x:v>
      </x:c>
      <x:c r="I600" s="11" t="n">
        <x:v>58896.21</x:v>
      </x:c>
    </x:row>
    <x:row r="601">
      <x:c r="A601" t="n">
        <x:v>2023</x:v>
      </x:c>
      <x:c r="B601" t="str">
        <x:v>2023-08</x:v>
      </x:c>
      <x:c r="C601" t="str">
        <x:v>Water</x:v>
      </x:c>
      <x:c r="D601" t="str">
        <x:v>Independent retail</x:v>
      </x:c>
      <x:c r="E601" t="str">
        <x:v>QLD</x:v>
      </x:c>
      <x:c r="F601" s="11" t="n">
        <x:v>57570.97</x:v>
      </x:c>
      <x:c r="G601" s="13" t="n">
        <x:v>20739</x:v>
      </x:c>
      <x:c r="H601" s="11" t="n">
        <x:v>24845.65</x:v>
      </x:c>
      <x:c r="I601" s="11" t="n">
        <x:v>56640.61</x:v>
      </x:c>
    </x:row>
    <x:row r="602">
      <x:c r="A602" t="n">
        <x:v>2023</x:v>
      </x:c>
      <x:c r="B602" t="str">
        <x:v>2023-08</x:v>
      </x:c>
      <x:c r="C602" t="str">
        <x:v>Water</x:v>
      </x:c>
      <x:c r="D602" t="str">
        <x:v>Independent retail</x:v>
      </x:c>
      <x:c r="E602" t="str">
        <x:v>VIC</x:v>
      </x:c>
      <x:c r="F602" s="11" t="n">
        <x:v>57050.47</x:v>
      </x:c>
      <x:c r="G602" s="13" t="n">
        <x:v>20054</x:v>
      </x:c>
      <x:c r="H602" s="11" t="n">
        <x:v>25278.39</x:v>
      </x:c>
      <x:c r="I602" s="11" t="n">
        <x:v>54939.07</x:v>
      </x:c>
    </x:row>
    <x:row r="603">
      <x:c r="A603" t="n">
        <x:v>2023</x:v>
      </x:c>
      <x:c r="B603" t="str">
        <x:v>2023-08</x:v>
      </x:c>
      <x:c r="C603" t="str">
        <x:v>Water</x:v>
      </x:c>
      <x:c r="D603" t="str">
        <x:v>Petrol</x:v>
      </x:c>
      <x:c r="E603" t="str">
        <x:v>NSW</x:v>
      </x:c>
      <x:c r="F603" s="11" t="n">
        <x:v>64681.99</x:v>
      </x:c>
      <x:c r="G603" s="13" t="n">
        <x:v>21192</x:v>
      </x:c>
      <x:c r="H603" s="11" t="n">
        <x:v>30952.55</x:v>
      </x:c>
      <x:c r="I603" s="11" t="n">
        <x:v>63415.7</x:v>
      </x:c>
    </x:row>
    <x:row r="604">
      <x:c r="A604" t="n">
        <x:v>2023</x:v>
      </x:c>
      <x:c r="B604" t="str">
        <x:v>2023-08</x:v>
      </x:c>
      <x:c r="C604" t="str">
        <x:v>Water</x:v>
      </x:c>
      <x:c r="D604" t="str">
        <x:v>Petrol</x:v>
      </x:c>
      <x:c r="E604" t="str">
        <x:v>QLD</x:v>
      </x:c>
      <x:c r="F604" s="11" t="n">
        <x:v>63613.94</x:v>
      </x:c>
      <x:c r="G604" s="13" t="n">
        <x:v>21710</x:v>
      </x:c>
      <x:c r="H604" s="11" t="n">
        <x:v>29473.1</x:v>
      </x:c>
      <x:c r="I604" s="11" t="n">
        <x:v>60974.18</x:v>
      </x:c>
    </x:row>
    <x:row r="605">
      <x:c r="A605" t="n">
        <x:v>2023</x:v>
      </x:c>
      <x:c r="B605" t="str">
        <x:v>2023-08</x:v>
      </x:c>
      <x:c r="C605" t="str">
        <x:v>Water</x:v>
      </x:c>
      <x:c r="D605" t="str">
        <x:v>Petrol</x:v>
      </x:c>
      <x:c r="E605" t="str">
        <x:v>VIC</x:v>
      </x:c>
      <x:c r="F605" s="11" t="n">
        <x:v>62319.65</x:v>
      </x:c>
      <x:c r="G605" s="13" t="n">
        <x:v>20762</x:v>
      </x:c>
      <x:c r="H605" s="11" t="n">
        <x:v>29194.97</x:v>
      </x:c>
      <x:c r="I605" s="11" t="n">
        <x:v>59151.74</x:v>
      </x:c>
    </x:row>
    <x:row r="606">
      <x:c r="A606" t="n">
        <x:v>2023</x:v>
      </x:c>
      <x:c r="B606" t="str">
        <x:v>2023-09</x:v>
      </x:c>
      <x:c r="C606" t="str">
        <x:v>Coffee</x:v>
      </x:c>
      <x:c r="D606" t="str">
        <x:v>Convenience</x:v>
      </x:c>
      <x:c r="E606" t="str">
        <x:v>NSW</x:v>
      </x:c>
      <x:c r="F606" s="11" t="n">
        <x:v>23577.93</x:v>
      </x:c>
      <x:c r="G606" s="13" t="n">
        <x:v>4768</x:v>
      </x:c>
      <x:c r="H606" s="11" t="n">
        <x:v>9951.17</x:v>
      </x:c>
      <x:c r="I606" s="11" t="n">
        <x:v>24234.78</x:v>
      </x:c>
    </x:row>
    <x:row r="607">
      <x:c r="A607" t="n">
        <x:v>2023</x:v>
      </x:c>
      <x:c r="B607" t="str">
        <x:v>2023-09</x:v>
      </x:c>
      <x:c r="C607" t="str">
        <x:v>Coffee</x:v>
      </x:c>
      <x:c r="D607" t="str">
        <x:v>Convenience</x:v>
      </x:c>
      <x:c r="E607" t="str">
        <x:v>QLD</x:v>
      </x:c>
      <x:c r="F607" s="11" t="n">
        <x:v>23436.01</x:v>
      </x:c>
      <x:c r="G607" s="13" t="n">
        <x:v>4727</x:v>
      </x:c>
      <x:c r="H607" s="11" t="n">
        <x:v>9810.69</x:v>
      </x:c>
      <x:c r="I607" s="11" t="n">
        <x:v>23294.38</x:v>
      </x:c>
    </x:row>
    <x:row r="608">
      <x:c r="A608" t="n">
        <x:v>2023</x:v>
      </x:c>
      <x:c r="B608" t="str">
        <x:v>2023-09</x:v>
      </x:c>
      <x:c r="C608" t="str">
        <x:v>Coffee</x:v>
      </x:c>
      <x:c r="D608" t="str">
        <x:v>Convenience</x:v>
      </x:c>
      <x:c r="E608" t="str">
        <x:v>VIC</x:v>
      </x:c>
      <x:c r="F608" s="11" t="n">
        <x:v>22383.63</x:v>
      </x:c>
      <x:c r="G608" s="13" t="n">
        <x:v>4626</x:v>
      </x:c>
      <x:c r="H608" s="11" t="n">
        <x:v>9275.99</x:v>
      </x:c>
      <x:c r="I608" s="11" t="n">
        <x:v>22599.32</x:v>
      </x:c>
    </x:row>
    <x:row r="609">
      <x:c r="A609" t="n">
        <x:v>2023</x:v>
      </x:c>
      <x:c r="B609" t="str">
        <x:v>2023-09</x:v>
      </x:c>
      <x:c r="C609" t="str">
        <x:v>Coffee</x:v>
      </x:c>
      <x:c r="D609" t="str">
        <x:v>Grocery</x:v>
      </x:c>
      <x:c r="E609" t="str">
        <x:v>NSW</x:v>
      </x:c>
      <x:c r="F609" s="11" t="n">
        <x:v>60552.83</x:v>
      </x:c>
      <x:c r="G609" s="13" t="n">
        <x:v>13392</x:v>
      </x:c>
      <x:c r="H609" s="11" t="n">
        <x:v>22121.52</x:v>
      </x:c>
      <x:c r="I609" s="11" t="n">
        <x:v>60141.06</x:v>
      </x:c>
    </x:row>
    <x:row r="610">
      <x:c r="A610" t="n">
        <x:v>2023</x:v>
      </x:c>
      <x:c r="B610" t="str">
        <x:v>2023-09</x:v>
      </x:c>
      <x:c r="C610" t="str">
        <x:v>Coffee</x:v>
      </x:c>
      <x:c r="D610" t="str">
        <x:v>Grocery</x:v>
      </x:c>
      <x:c r="E610" t="str">
        <x:v>QLD</x:v>
      </x:c>
      <x:c r="F610" s="11" t="n">
        <x:v>58310.62</x:v>
      </x:c>
      <x:c r="G610" s="13" t="n">
        <x:v>13239</x:v>
      </x:c>
      <x:c r="H610" s="11" t="n">
        <x:v>20256.08</x:v>
      </x:c>
      <x:c r="I610" s="11" t="n">
        <x:v>57815.94</x:v>
      </x:c>
    </x:row>
    <x:row r="611">
      <x:c r="A611" t="n">
        <x:v>2023</x:v>
      </x:c>
      <x:c r="B611" t="str">
        <x:v>2023-09</x:v>
      </x:c>
      <x:c r="C611" t="str">
        <x:v>Coffee</x:v>
      </x:c>
      <x:c r="D611" t="str">
        <x:v>Grocery</x:v>
      </x:c>
      <x:c r="E611" t="str">
        <x:v>VIC</x:v>
      </x:c>
      <x:c r="F611" s="11" t="n">
        <x:v>58355.92</x:v>
      </x:c>
      <x:c r="G611" s="13" t="n">
        <x:v>12991</x:v>
      </x:c>
      <x:c r="H611" s="11" t="n">
        <x:v>21402.51</x:v>
      </x:c>
      <x:c r="I611" s="11" t="n">
        <x:v>56086.4</x:v>
      </x:c>
    </x:row>
    <x:row r="612">
      <x:c r="A612" t="n">
        <x:v>2023</x:v>
      </x:c>
      <x:c r="B612" t="str">
        <x:v>2023-09</x:v>
      </x:c>
      <x:c r="C612" t="str">
        <x:v>Coffee</x:v>
      </x:c>
      <x:c r="D612" t="str">
        <x:v>Hospitality</x:v>
      </x:c>
      <x:c r="E612" t="str">
        <x:v>NSW</x:v>
      </x:c>
      <x:c r="F612" s="11" t="n">
        <x:v>7944.45</x:v>
      </x:c>
      <x:c r="G612" s="13" t="n">
        <x:v>1911</x:v>
      </x:c>
      <x:c r="H612" s="11" t="n">
        <x:v>2478.96</x:v>
      </x:c>
      <x:c r="I612" s="11" t="n">
        <x:v>7551.38</x:v>
      </x:c>
    </x:row>
    <x:row r="613">
      <x:c r="A613" t="n">
        <x:v>2023</x:v>
      </x:c>
      <x:c r="B613" t="str">
        <x:v>2023-09</x:v>
      </x:c>
      <x:c r="C613" t="str">
        <x:v>Coffee</x:v>
      </x:c>
      <x:c r="D613" t="str">
        <x:v>Hospitality</x:v>
      </x:c>
      <x:c r="E613" t="str">
        <x:v>QLD</x:v>
      </x:c>
      <x:c r="F613" s="11" t="n">
        <x:v>7393.52</x:v>
      </x:c>
      <x:c r="G613" s="13" t="n">
        <x:v>1874</x:v>
      </x:c>
      <x:c r="H613" s="11" t="n">
        <x:v>2020.96</x:v>
      </x:c>
      <x:c r="I613" s="11" t="n">
        <x:v>7254.3</x:v>
      </x:c>
    </x:row>
    <x:row r="614">
      <x:c r="A614" t="n">
        <x:v>2023</x:v>
      </x:c>
      <x:c r="B614" t="str">
        <x:v>2023-09</x:v>
      </x:c>
      <x:c r="C614" t="str">
        <x:v>Coffee</x:v>
      </x:c>
      <x:c r="D614" t="str">
        <x:v>Hospitality</x:v>
      </x:c>
      <x:c r="E614" t="str">
        <x:v>VIC</x:v>
      </x:c>
      <x:c r="F614" s="11" t="n">
        <x:v>7110.84</x:v>
      </x:c>
      <x:c r="G614" s="13" t="n">
        <x:v>1759</x:v>
      </x:c>
      <x:c r="H614" s="11" t="n">
        <x:v>2053.16</x:v>
      </x:c>
      <x:c r="I614" s="11" t="n">
        <x:v>7025.79</x:v>
      </x:c>
    </x:row>
    <x:row r="615">
      <x:c r="A615" t="n">
        <x:v>2023</x:v>
      </x:c>
      <x:c r="B615" t="str">
        <x:v>2023-09</x:v>
      </x:c>
      <x:c r="C615" t="str">
        <x:v>Coffee</x:v>
      </x:c>
      <x:c r="D615" t="str">
        <x:v>Independent retail</x:v>
      </x:c>
      <x:c r="E615" t="str">
        <x:v>NSW</x:v>
      </x:c>
      <x:c r="F615" s="11" t="n">
        <x:v>20262.81</x:v>
      </x:c>
      <x:c r="G615" s="13" t="n">
        <x:v>4652</x:v>
      </x:c>
      <x:c r="H615" s="11" t="n">
        <x:v>6946.13</x:v>
      </x:c>
      <x:c r="I615" s="11" t="n">
        <x:v>20443.07</x:v>
      </x:c>
    </x:row>
    <x:row r="616">
      <x:c r="A616" t="n">
        <x:v>2023</x:v>
      </x:c>
      <x:c r="B616" t="str">
        <x:v>2023-09</x:v>
      </x:c>
      <x:c r="C616" t="str">
        <x:v>Coffee</x:v>
      </x:c>
      <x:c r="D616" t="str">
        <x:v>Independent retail</x:v>
      </x:c>
      <x:c r="E616" t="str">
        <x:v>QLD</x:v>
      </x:c>
      <x:c r="F616" s="11" t="n">
        <x:v>19877.61</x:v>
      </x:c>
      <x:c r="G616" s="13" t="n">
        <x:v>4524</x:v>
      </x:c>
      <x:c r="H616" s="11" t="n">
        <x:v>7094.27</x:v>
      </x:c>
      <x:c r="I616" s="11" t="n">
        <x:v>19639.739999999998</x:v>
      </x:c>
    </x:row>
    <x:row r="617">
      <x:c r="A617" t="n">
        <x:v>2023</x:v>
      </x:c>
      <x:c r="B617" t="str">
        <x:v>2023-09</x:v>
      </x:c>
      <x:c r="C617" t="str">
        <x:v>Coffee</x:v>
      </x:c>
      <x:c r="D617" t="str">
        <x:v>Independent retail</x:v>
      </x:c>
      <x:c r="E617" t="str">
        <x:v>VIC</x:v>
      </x:c>
      <x:c r="F617" s="11" t="n">
        <x:v>19004.96</x:v>
      </x:c>
      <x:c r="G617" s="13" t="n">
        <x:v>4381</x:v>
      </x:c>
      <x:c r="H617" s="11" t="n">
        <x:v>6505.32</x:v>
      </x:c>
      <x:c r="I617" s="11" t="n">
        <x:v>19062.66</x:v>
      </x:c>
    </x:row>
    <x:row r="618">
      <x:c r="A618" t="n">
        <x:v>2023</x:v>
      </x:c>
      <x:c r="B618" t="str">
        <x:v>2023-09</x:v>
      </x:c>
      <x:c r="C618" t="str">
        <x:v>Coffee</x:v>
      </x:c>
      <x:c r="D618" t="str">
        <x:v>Petrol</x:v>
      </x:c>
      <x:c r="E618" t="str">
        <x:v>NSW</x:v>
      </x:c>
      <x:c r="F618" s="11" t="n">
        <x:v>22562.77</x:v>
      </x:c>
      <x:c r="G618" s="13" t="n">
        <x:v>4663</x:v>
      </x:c>
      <x:c r="H618" s="11" t="n">
        <x:v>9251.31</x:v>
      </x:c>
      <x:c r="I618" s="11" t="n">
        <x:v>22014.91</x:v>
      </x:c>
    </x:row>
    <x:row r="619">
      <x:c r="A619" t="n">
        <x:v>2023</x:v>
      </x:c>
      <x:c r="B619" t="str">
        <x:v>2023-09</x:v>
      </x:c>
      <x:c r="C619" t="str">
        <x:v>Coffee</x:v>
      </x:c>
      <x:c r="D619" t="str">
        <x:v>Petrol</x:v>
      </x:c>
      <x:c r="E619" t="str">
        <x:v>QLD</x:v>
      </x:c>
      <x:c r="F619" s="11" t="n">
        <x:v>22304.37</x:v>
      </x:c>
      <x:c r="G619" s="13" t="n">
        <x:v>4440</x:v>
      </x:c>
      <x:c r="H619" s="11" t="n">
        <x:v>9655.82</x:v>
      </x:c>
      <x:c r="I619" s="11" t="n">
        <x:v>21174.1</x:v>
      </x:c>
    </x:row>
    <x:row r="620">
      <x:c r="A620" t="n">
        <x:v>2023</x:v>
      </x:c>
      <x:c r="B620" t="str">
        <x:v>2023-09</x:v>
      </x:c>
      <x:c r="C620" t="str">
        <x:v>Coffee</x:v>
      </x:c>
      <x:c r="D620" t="str">
        <x:v>Petrol</x:v>
      </x:c>
      <x:c r="E620" t="str">
        <x:v>VIC</x:v>
      </x:c>
      <x:c r="F620" s="11" t="n">
        <x:v>21153.75</x:v>
      </x:c>
      <x:c r="G620" s="13" t="n">
        <x:v>4254</x:v>
      </x:c>
      <x:c r="H620" s="11" t="n">
        <x:v>8973.88</x:v>
      </x:c>
      <x:c r="I620" s="11" t="n">
        <x:v>20537.94</x:v>
      </x:c>
    </x:row>
    <x:row r="621">
      <x:c r="A621" t="n">
        <x:v>2023</x:v>
      </x:c>
      <x:c r="B621" t="str">
        <x:v>2023-09</x:v>
      </x:c>
      <x:c r="C621" t="str">
        <x:v>Energy</x:v>
      </x:c>
      <x:c r="D621" t="str">
        <x:v>Convenience</x:v>
      </x:c>
      <x:c r="E621" t="str">
        <x:v>NSW</x:v>
      </x:c>
      <x:c r="F621" s="11" t="n">
        <x:v>59956.5</x:v>
      </x:c>
      <x:c r="G621" s="13" t="n">
        <x:v>11508</x:v>
      </x:c>
      <x:c r="H621" s="11" t="n">
        <x:v>35874.14</x:v>
      </x:c>
      <x:c r="I621" s="11" t="n">
        <x:v>89188.73</x:v>
      </x:c>
    </x:row>
    <x:row r="622">
      <x:c r="A622" t="n">
        <x:v>2023</x:v>
      </x:c>
      <x:c r="B622" t="str">
        <x:v>2023-09</x:v>
      </x:c>
      <x:c r="C622" t="str">
        <x:v>Energy</x:v>
      </x:c>
      <x:c r="D622" t="str">
        <x:v>Convenience</x:v>
      </x:c>
      <x:c r="E622" t="str">
        <x:v>QLD</x:v>
      </x:c>
      <x:c r="F622" s="11" t="n">
        <x:v>56774.68</x:v>
      </x:c>
      <x:c r="G622" s="13" t="n">
        <x:v>10764</x:v>
      </x:c>
      <x:c r="H622" s="11" t="n">
        <x:v>34481.72</x:v>
      </x:c>
      <x:c r="I622" s="11" t="n">
        <x:v>85747.35</x:v>
      </x:c>
    </x:row>
    <x:row r="623">
      <x:c r="A623" t="n">
        <x:v>2023</x:v>
      </x:c>
      <x:c r="B623" t="str">
        <x:v>2023-09</x:v>
      </x:c>
      <x:c r="C623" t="str">
        <x:v>Energy</x:v>
      </x:c>
      <x:c r="D623" t="str">
        <x:v>Convenience</x:v>
      </x:c>
      <x:c r="E623" t="str">
        <x:v>VIC</x:v>
      </x:c>
      <x:c r="F623" s="11" t="n">
        <x:v>56177.49</x:v>
      </x:c>
      <x:c r="G623" s="13" t="n">
        <x:v>10766</x:v>
      </x:c>
      <x:c r="H623" s="11" t="n">
        <x:v>33910.09</x:v>
      </x:c>
      <x:c r="I623" s="11" t="n">
        <x:v>83154.57</x:v>
      </x:c>
    </x:row>
    <x:row r="624">
      <x:c r="A624" t="n">
        <x:v>2023</x:v>
      </x:c>
      <x:c r="B624" t="str">
        <x:v>2023-09</x:v>
      </x:c>
      <x:c r="C624" t="str">
        <x:v>Energy</x:v>
      </x:c>
      <x:c r="D624" t="str">
        <x:v>Grocery</x:v>
      </x:c>
      <x:c r="E624" t="str">
        <x:v>NSW</x:v>
      </x:c>
      <x:c r="F624" s="11" t="n">
        <x:v>235679.86000000002</x:v>
      </x:c>
      <x:c r="G624" s="13" t="n">
        <x:v>50796</x:v>
      </x:c>
      <x:c r="H624" s="11" t="n">
        <x:v>125952.5</x:v>
      </x:c>
      <x:c r="I624" s="11" t="n">
        <x:v>222082.64</x:v>
      </x:c>
    </x:row>
    <x:row r="625">
      <x:c r="A625" t="n">
        <x:v>2023</x:v>
      </x:c>
      <x:c r="B625" t="str">
        <x:v>2023-09</x:v>
      </x:c>
      <x:c r="C625" t="str">
        <x:v>Energy</x:v>
      </x:c>
      <x:c r="D625" t="str">
        <x:v>Grocery</x:v>
      </x:c>
      <x:c r="E625" t="str">
        <x:v>QLD</x:v>
      </x:c>
      <x:c r="F625" s="11" t="n">
        <x:v>217424.66</x:v>
      </x:c>
      <x:c r="G625" s="13" t="n">
        <x:v>48212</x:v>
      </x:c>
      <x:c r="H625" s="11" t="n">
        <x:v>114678.3</x:v>
      </x:c>
      <x:c r="I625" s="11" t="n">
        <x:v>213558.2</x:v>
      </x:c>
    </x:row>
    <x:row r="626">
      <x:c r="A626" t="n">
        <x:v>2023</x:v>
      </x:c>
      <x:c r="B626" t="str">
        <x:v>2023-09</x:v>
      </x:c>
      <x:c r="C626" t="str">
        <x:v>Energy</x:v>
      </x:c>
      <x:c r="D626" t="str">
        <x:v>Grocery</x:v>
      </x:c>
      <x:c r="E626" t="str">
        <x:v>VIC</x:v>
      </x:c>
      <x:c r="F626" s="11" t="n">
        <x:v>215315.95</x:v>
      </x:c>
      <x:c r="G626" s="13" t="n">
        <x:v>46591</x:v>
      </x:c>
      <x:c r="H626" s="11" t="n">
        <x:v>114611.75</x:v>
      </x:c>
      <x:c r="I626" s="11" t="n">
        <x:v>207122.21</x:v>
      </x:c>
    </x:row>
    <x:row r="627">
      <x:c r="A627" t="n">
        <x:v>2023</x:v>
      </x:c>
      <x:c r="B627" t="str">
        <x:v>2023-09</x:v>
      </x:c>
      <x:c r="C627" t="str">
        <x:v>Energy</x:v>
      </x:c>
      <x:c r="D627" t="str">
        <x:v>Hospitality</x:v>
      </x:c>
      <x:c r="E627" t="str">
        <x:v>NSW</x:v>
      </x:c>
      <x:c r="F627" s="11" t="n">
        <x:v>28905.54</x:v>
      </x:c>
      <x:c r="G627" s="13" t="n">
        <x:v>6835</x:v>
      </x:c>
      <x:c r="H627" s="11" t="n">
        <x:v>14263.66</x:v>
      </x:c>
      <x:c r="I627" s="11" t="n">
        <x:v>27785.64</x:v>
      </x:c>
    </x:row>
    <x:row r="628">
      <x:c r="A628" t="n">
        <x:v>2023</x:v>
      </x:c>
      <x:c r="B628" t="str">
        <x:v>2023-09</x:v>
      </x:c>
      <x:c r="C628" t="str">
        <x:v>Energy</x:v>
      </x:c>
      <x:c r="D628" t="str">
        <x:v>Hospitality</x:v>
      </x:c>
      <x:c r="E628" t="str">
        <x:v>QLD</x:v>
      </x:c>
      <x:c r="F628" s="11" t="n">
        <x:v>28195.11</x:v>
      </x:c>
      <x:c r="G628" s="13" t="n">
        <x:v>6742</x:v>
      </x:c>
      <x:c r="H628" s="11" t="n">
        <x:v>13979.87</x:v>
      </x:c>
      <x:c r="I628" s="11" t="n">
        <x:v>26704.43</x:v>
      </x:c>
    </x:row>
    <x:row r="629">
      <x:c r="A629" t="n">
        <x:v>2023</x:v>
      </x:c>
      <x:c r="B629" t="str">
        <x:v>2023-09</x:v>
      </x:c>
      <x:c r="C629" t="str">
        <x:v>Energy</x:v>
      </x:c>
      <x:c r="D629" t="str">
        <x:v>Hospitality</x:v>
      </x:c>
      <x:c r="E629" t="str">
        <x:v>VIC</x:v>
      </x:c>
      <x:c r="F629" s="11" t="n">
        <x:v>27769.4</x:v>
      </x:c>
      <x:c r="G629" s="13" t="n">
        <x:v>6609</x:v>
      </x:c>
      <x:c r="H629" s="11" t="n">
        <x:v>13538.44</x:v>
      </x:c>
      <x:c r="I629" s="11" t="n">
        <x:v>25912.69</x:v>
      </x:c>
    </x:row>
    <x:row r="630">
      <x:c r="A630" t="n">
        <x:v>2023</x:v>
      </x:c>
      <x:c r="B630" t="str">
        <x:v>2023-09</x:v>
      </x:c>
      <x:c r="C630" t="str">
        <x:v>Energy</x:v>
      </x:c>
      <x:c r="D630" t="str">
        <x:v>Independent retail</x:v>
      </x:c>
      <x:c r="E630" t="str">
        <x:v>NSW</x:v>
      </x:c>
      <x:c r="F630" s="11" t="n">
        <x:v>79553.94</x:v>
      </x:c>
      <x:c r="G630" s="13" t="n">
        <x:v>16935</x:v>
      </x:c>
      <x:c r="H630" s="11" t="n">
        <x:v>44296.62</x:v>
      </x:c>
      <x:c r="I630" s="11" t="n">
        <x:v>75475.87</x:v>
      </x:c>
    </x:row>
    <x:row r="631">
      <x:c r="A631" t="n">
        <x:v>2023</x:v>
      </x:c>
      <x:c r="B631" t="str">
        <x:v>2023-09</x:v>
      </x:c>
      <x:c r="C631" t="str">
        <x:v>Energy</x:v>
      </x:c>
      <x:c r="D631" t="str">
        <x:v>Independent retail</x:v>
      </x:c>
      <x:c r="E631" t="str">
        <x:v>QLD</x:v>
      </x:c>
      <x:c r="F631" s="11" t="n">
        <x:v>74525.06</x:v>
      </x:c>
      <x:c r="G631" s="13" t="n">
        <x:v>15579</x:v>
      </x:c>
      <x:c r="H631" s="11" t="n">
        <x:v>42034.98</x:v>
      </x:c>
      <x:c r="I631" s="11" t="n">
        <x:v>72564.23</x:v>
      </x:c>
    </x:row>
    <x:row r="632">
      <x:c r="A632" t="n">
        <x:v>2023</x:v>
      </x:c>
      <x:c r="B632" t="str">
        <x:v>2023-09</x:v>
      </x:c>
      <x:c r="C632" t="str">
        <x:v>Energy</x:v>
      </x:c>
      <x:c r="D632" t="str">
        <x:v>Independent retail</x:v>
      </x:c>
      <x:c r="E632" t="str">
        <x:v>VIC</x:v>
      </x:c>
      <x:c r="F632" s="11" t="n">
        <x:v>72530.53</x:v>
      </x:c>
      <x:c r="G632" s="13" t="n">
        <x:v>15290</x:v>
      </x:c>
      <x:c r="H632" s="11" t="n">
        <x:v>40617.61</x:v>
      </x:c>
      <x:c r="I632" s="11" t="n">
        <x:v>70382.08</x:v>
      </x:c>
    </x:row>
    <x:row r="633">
      <x:c r="A633" t="n">
        <x:v>2023</x:v>
      </x:c>
      <x:c r="B633" t="str">
        <x:v>2023-09</x:v>
      </x:c>
      <x:c r="C633" t="str">
        <x:v>Energy</x:v>
      </x:c>
      <x:c r="D633" t="str">
        <x:v>Petrol</x:v>
      </x:c>
      <x:c r="E633" t="str">
        <x:v>NSW</x:v>
      </x:c>
      <x:c r="F633" s="11" t="n">
        <x:v>84283.92</x:v>
      </x:c>
      <x:c r="G633" s="13" t="n">
        <x:v>16118</x:v>
      </x:c>
      <x:c r="H633" s="11" t="n">
        <x:v>50488.52</x:v>
      </x:c>
      <x:c r="I633" s="11" t="n">
        <x:v>81306.79</x:v>
      </x:c>
    </x:row>
    <x:row r="634">
      <x:c r="A634" t="n">
        <x:v>2023</x:v>
      </x:c>
      <x:c r="B634" t="str">
        <x:v>2023-09</x:v>
      </x:c>
      <x:c r="C634" t="str">
        <x:v>Energy</x:v>
      </x:c>
      <x:c r="D634" t="str">
        <x:v>Petrol</x:v>
      </x:c>
      <x:c r="E634" t="str">
        <x:v>QLD</x:v>
      </x:c>
      <x:c r="F634" s="11" t="n">
        <x:v>82144.32</x:v>
      </x:c>
      <x:c r="G634" s="13" t="n">
        <x:v>15651</x:v>
      </x:c>
      <x:c r="H634" s="11" t="n">
        <x:v>48148.2</x:v>
      </x:c>
      <x:c r="I634" s="11" t="n">
        <x:v>78184.18</x:v>
      </x:c>
    </x:row>
    <x:row r="635">
      <x:c r="A635" t="n">
        <x:v>2023</x:v>
      </x:c>
      <x:c r="B635" t="str">
        <x:v>2023-09</x:v>
      </x:c>
      <x:c r="C635" t="str">
        <x:v>Energy</x:v>
      </x:c>
      <x:c r="D635" t="str">
        <x:v>Petrol</x:v>
      </x:c>
      <x:c r="E635" t="str">
        <x:v>VIC</x:v>
      </x:c>
      <x:c r="F635" s="11" t="n">
        <x:v>81143.95</x:v>
      </x:c>
      <x:c r="G635" s="13" t="n">
        <x:v>15550</x:v>
      </x:c>
      <x:c r="H635" s="11" t="n">
        <x:v>47859.55</x:v>
      </x:c>
      <x:c r="I635" s="11" t="n">
        <x:v>75851.59</x:v>
      </x:c>
    </x:row>
    <x:row r="636">
      <x:c r="A636" t="n">
        <x:v>2023</x:v>
      </x:c>
      <x:c r="B636" t="str">
        <x:v>2023-09</x:v>
      </x:c>
      <x:c r="C636" t="str">
        <x:v>Sparkling</x:v>
      </x:c>
      <x:c r="D636" t="str">
        <x:v>Convenience</x:v>
      </x:c>
      <x:c r="E636" t="str">
        <x:v>NSW</x:v>
      </x:c>
      <x:c r="F636" s="11" t="n">
        <x:v>110577.18</x:v>
      </x:c>
      <x:c r="G636" s="13" t="n">
        <x:v>27172</x:v>
      </x:c>
      <x:c r="H636" s="11" t="n">
        <x:v>61816.14</x:v>
      </x:c>
      <x:c r="I636" s="11" t="n">
        <x:v>108407.4</x:v>
      </x:c>
    </x:row>
    <x:row r="637">
      <x:c r="A637" t="n">
        <x:v>2023</x:v>
      </x:c>
      <x:c r="B637" t="str">
        <x:v>2023-09</x:v>
      </x:c>
      <x:c r="C637" t="str">
        <x:v>Sparkling</x:v>
      </x:c>
      <x:c r="D637" t="str">
        <x:v>Convenience</x:v>
      </x:c>
      <x:c r="E637" t="str">
        <x:v>QLD</x:v>
      </x:c>
      <x:c r="F637" s="11" t="n">
        <x:v>108212.71</x:v>
      </x:c>
      <x:c r="G637" s="13" t="n">
        <x:v>26705</x:v>
      </x:c>
      <x:c r="H637" s="11" t="n">
        <x:v>60366.29</x:v>
      </x:c>
      <x:c r="I637" s="11" t="n">
        <x:v>104267.67</x:v>
      </x:c>
    </x:row>
    <x:row r="638">
      <x:c r="A638" t="n">
        <x:v>2023</x:v>
      </x:c>
      <x:c r="B638" t="str">
        <x:v>2023-09</x:v>
      </x:c>
      <x:c r="C638" t="str">
        <x:v>Sparkling</x:v>
      </x:c>
      <x:c r="D638" t="str">
        <x:v>Convenience</x:v>
      </x:c>
      <x:c r="E638" t="str">
        <x:v>VIC</x:v>
      </x:c>
      <x:c r="F638" s="11" t="n">
        <x:v>103909.03</x:v>
      </x:c>
      <x:c r="G638" s="13" t="n">
        <x:v>25823</x:v>
      </x:c>
      <x:c r="H638" s="11" t="n">
        <x:v>58208.59</x:v>
      </x:c>
      <x:c r="I638" s="11" t="n">
        <x:v>101126.1</x:v>
      </x:c>
    </x:row>
    <x:row r="639">
      <x:c r="A639" t="n">
        <x:v>2023</x:v>
      </x:c>
      <x:c r="B639" t="str">
        <x:v>2023-09</x:v>
      </x:c>
      <x:c r="C639" t="str">
        <x:v>Sparkling</x:v>
      </x:c>
      <x:c r="D639" t="str">
        <x:v>Grocery</x:v>
      </x:c>
      <x:c r="E639" t="str">
        <x:v>NSW</x:v>
      </x:c>
      <x:c r="F639" s="11" t="n">
        <x:v>272174.63</x:v>
      </x:c>
      <x:c r="G639" s="13" t="n">
        <x:v>79935</x:v>
      </x:c>
      <x:c r="H639" s="11" t="n">
        <x:v>128675.49</x:v>
      </x:c>
      <x:c r="I639" s="11" t="n">
        <x:v>269723.64</x:v>
      </x:c>
    </x:row>
    <x:row r="640">
      <x:c r="A640" t="n">
        <x:v>2023</x:v>
      </x:c>
      <x:c r="B640" t="str">
        <x:v>2023-09</x:v>
      </x:c>
      <x:c r="C640" t="str">
        <x:v>Sparkling</x:v>
      </x:c>
      <x:c r="D640" t="str">
        <x:v>Grocery</x:v>
      </x:c>
      <x:c r="E640" t="str">
        <x:v>QLD</x:v>
      </x:c>
      <x:c r="F640" s="11" t="n">
        <x:v>270720.26</x:v>
      </x:c>
      <x:c r="G640" s="13" t="n">
        <x:v>78071</x:v>
      </x:c>
      <x:c r="H640" s="11" t="n">
        <x:v>131707.22</x:v>
      </x:c>
      <x:c r="I640" s="11" t="n">
        <x:v>259359.8</x:v>
      </x:c>
    </x:row>
    <x:row r="641">
      <x:c r="A641" t="n">
        <x:v>2023</x:v>
      </x:c>
      <x:c r="B641" t="str">
        <x:v>2023-09</x:v>
      </x:c>
      <x:c r="C641" t="str">
        <x:v>Sparkling</x:v>
      </x:c>
      <x:c r="D641" t="str">
        <x:v>Grocery</x:v>
      </x:c>
      <x:c r="E641" t="str">
        <x:v>VIC</x:v>
      </x:c>
      <x:c r="F641" s="11" t="n">
        <x:v>260129.4</x:v>
      </x:c>
      <x:c r="G641" s="13" t="n">
        <x:v>75574</x:v>
      </x:c>
      <x:c r="H641" s="11" t="n">
        <x:v>123869.24</x:v>
      </x:c>
      <x:c r="I641" s="11" t="n">
        <x:v>251590.11</x:v>
      </x:c>
    </x:row>
    <x:row r="642">
      <x:c r="A642" t="n">
        <x:v>2023</x:v>
      </x:c>
      <x:c r="B642" t="str">
        <x:v>2023-09</x:v>
      </x:c>
      <x:c r="C642" t="str">
        <x:v>Sparkling</x:v>
      </x:c>
      <x:c r="D642" t="str">
        <x:v>Hospitality</x:v>
      </x:c>
      <x:c r="E642" t="str">
        <x:v>NSW</x:v>
      </x:c>
      <x:c r="F642" s="11" t="n">
        <x:v>35154.32</x:v>
      </x:c>
      <x:c r="G642" s="13" t="n">
        <x:v>11226</x:v>
      </x:c>
      <x:c r="H642" s="11" t="n">
        <x:v>15143.86</x:v>
      </x:c>
      <x:c r="I642" s="11" t="n">
        <x:v>33714.340000000004</x:v>
      </x:c>
    </x:row>
    <x:row r="643">
      <x:c r="A643" t="n">
        <x:v>2023</x:v>
      </x:c>
      <x:c r="B643" t="str">
        <x:v>2023-09</x:v>
      </x:c>
      <x:c r="C643" t="str">
        <x:v>Sparkling</x:v>
      </x:c>
      <x:c r="D643" t="str">
        <x:v>Hospitality</x:v>
      </x:c>
      <x:c r="E643" t="str">
        <x:v>QLD</x:v>
      </x:c>
      <x:c r="F643" s="11" t="n">
        <x:v>34640.6</x:v>
      </x:c>
      <x:c r="G643" s="13" t="n">
        <x:v>10776</x:v>
      </x:c>
      <x:c r="H643" s="11" t="n">
        <x:v>15353.32</x:v>
      </x:c>
      <x:c r="I643" s="11" t="n">
        <x:v>32427.84</x:v>
      </x:c>
    </x:row>
    <x:row r="644">
      <x:c r="A644" t="n">
        <x:v>2023</x:v>
      </x:c>
      <x:c r="B644" t="str">
        <x:v>2023-09</x:v>
      </x:c>
      <x:c r="C644" t="str">
        <x:v>Sparkling</x:v>
      </x:c>
      <x:c r="D644" t="str">
        <x:v>Hospitality</x:v>
      </x:c>
      <x:c r="E644" t="str">
        <x:v>VIC</x:v>
      </x:c>
      <x:c r="F644" s="11" t="n">
        <x:v>32686.91</x:v>
      </x:c>
      <x:c r="G644" s="13" t="n">
        <x:v>10214</x:v>
      </x:c>
      <x:c r="H644" s="11" t="n">
        <x:v>14395.67</x:v>
      </x:c>
      <x:c r="I644" s="11" t="n">
        <x:v>31442.54</x:v>
      </x:c>
    </x:row>
    <x:row r="645">
      <x:c r="A645" t="n">
        <x:v>2023</x:v>
      </x:c>
      <x:c r="B645" t="str">
        <x:v>2023-09</x:v>
      </x:c>
      <x:c r="C645" t="str">
        <x:v>Sparkling</x:v>
      </x:c>
      <x:c r="D645" t="str">
        <x:v>Independent retail</x:v>
      </x:c>
      <x:c r="E645" t="str">
        <x:v>NSW</x:v>
      </x:c>
      <x:c r="F645" s="11" t="n">
        <x:v>93086.63</x:v>
      </x:c>
      <x:c r="G645" s="13" t="n">
        <x:v>25888</x:v>
      </x:c>
      <x:c r="H645" s="11" t="n">
        <x:v>47068.27</x:v>
      </x:c>
      <x:c r="I645" s="11" t="n">
        <x:v>91682.96</x:v>
      </x:c>
    </x:row>
    <x:row r="646">
      <x:c r="A646" t="n">
        <x:v>2023</x:v>
      </x:c>
      <x:c r="B646" t="str">
        <x:v>2023-09</x:v>
      </x:c>
      <x:c r="C646" t="str">
        <x:v>Sparkling</x:v>
      </x:c>
      <x:c r="D646" t="str">
        <x:v>Independent retail</x:v>
      </x:c>
      <x:c r="E646" t="str">
        <x:v>QLD</x:v>
      </x:c>
      <x:c r="F646" s="11" t="n">
        <x:v>91232.66</x:v>
      </x:c>
      <x:c r="G646" s="13" t="n">
        <x:v>25806</x:v>
      </x:c>
      <x:c r="H646" s="11" t="n">
        <x:v>44963.86</x:v>
      </x:c>
      <x:c r="I646" s="11" t="n">
        <x:v>88164.37</x:v>
      </x:c>
    </x:row>
    <x:row r="647">
      <x:c r="A647" t="n">
        <x:v>2023</x:v>
      </x:c>
      <x:c r="B647" t="str">
        <x:v>2023-09</x:v>
      </x:c>
      <x:c r="C647" t="str">
        <x:v>Sparkling</x:v>
      </x:c>
      <x:c r="D647" t="str">
        <x:v>Independent retail</x:v>
      </x:c>
      <x:c r="E647" t="str">
        <x:v>VIC</x:v>
      </x:c>
      <x:c r="F647" s="11" t="n">
        <x:v>88803.65</x:v>
      </x:c>
      <x:c r="G647" s="13" t="n">
        <x:v>24662</x:v>
      </x:c>
      <x:c r="H647" s="11" t="n">
        <x:v>44549.99</x:v>
      </x:c>
      <x:c r="I647" s="11" t="n">
        <x:v>85514.02</x:v>
      </x:c>
    </x:row>
    <x:row r="648">
      <x:c r="A648" t="n">
        <x:v>2023</x:v>
      </x:c>
      <x:c r="B648" t="str">
        <x:v>2023-09</x:v>
      </x:c>
      <x:c r="C648" t="str">
        <x:v>Sparkling</x:v>
      </x:c>
      <x:c r="D648" t="str">
        <x:v>Petrol</x:v>
      </x:c>
      <x:c r="E648" t="str">
        <x:v>NSW</x:v>
      </x:c>
      <x:c r="F648" s="11" t="n">
        <x:v>101888.46</x:v>
      </x:c>
      <x:c r="G648" s="13" t="n">
        <x:v>26634</x:v>
      </x:c>
      <x:c r="H648" s="11" t="n">
        <x:v>54418.64</x:v>
      </x:c>
      <x:c r="I648" s="11" t="n">
        <x:v>98899.43</x:v>
      </x:c>
    </x:row>
    <x:row r="649">
      <x:c r="A649" t="n">
        <x:v>2023</x:v>
      </x:c>
      <x:c r="B649" t="str">
        <x:v>2023-09</x:v>
      </x:c>
      <x:c r="C649" t="str">
        <x:v>Sparkling</x:v>
      </x:c>
      <x:c r="D649" t="str">
        <x:v>Petrol</x:v>
      </x:c>
      <x:c r="E649" t="str">
        <x:v>QLD</x:v>
      </x:c>
      <x:c r="F649" s="11" t="n">
        <x:v>99004.29</x:v>
      </x:c>
      <x:c r="G649" s="13" t="n">
        <x:v>25718</x:v>
      </x:c>
      <x:c r="H649" s="11" t="n">
        <x:v>52510.87</x:v>
      </x:c>
      <x:c r="I649" s="11" t="n">
        <x:v>95091.42</x:v>
      </x:c>
    </x:row>
    <x:row r="650">
      <x:c r="A650" t="n">
        <x:v>2023</x:v>
      </x:c>
      <x:c r="B650" t="str">
        <x:v>2023-09</x:v>
      </x:c>
      <x:c r="C650" t="str">
        <x:v>Sparkling</x:v>
      </x:c>
      <x:c r="D650" t="str">
        <x:v>Petrol</x:v>
      </x:c>
      <x:c r="E650" t="str">
        <x:v>VIC</x:v>
      </x:c>
      <x:c r="F650" s="11" t="n">
        <x:v>95897.35</x:v>
      </x:c>
      <x:c r="G650" s="13" t="n">
        <x:v>25080</x:v>
      </x:c>
      <x:c r="H650" s="11" t="n">
        <x:v>50770.67</x:v>
      </x:c>
      <x:c r="I650" s="11" t="n">
        <x:v>92257.17</x:v>
      </x:c>
    </x:row>
    <x:row r="651">
      <x:c r="A651" t="n">
        <x:v>2023</x:v>
      </x:c>
      <x:c r="B651" t="str">
        <x:v>2023-09</x:v>
      </x:c>
      <x:c r="C651" t="str">
        <x:v>Sports</x:v>
      </x:c>
      <x:c r="D651" t="str">
        <x:v>Convenience</x:v>
      </x:c>
      <x:c r="E651" t="str">
        <x:v>NSW</x:v>
      </x:c>
      <x:c r="F651" s="11" t="n">
        <x:v>61015.659999999996</x:v>
      </x:c>
      <x:c r="G651" s="13" t="n">
        <x:v>12179</x:v>
      </x:c>
      <x:c r="H651" s="11" t="n">
        <x:v>33391.45</x:v>
      </x:c>
      <x:c r="I651" s="11" t="n">
        <x:v>59903.53</x:v>
      </x:c>
    </x:row>
    <x:row r="652">
      <x:c r="A652" t="n">
        <x:v>2023</x:v>
      </x:c>
      <x:c r="B652" t="str">
        <x:v>2023-09</x:v>
      </x:c>
      <x:c r="C652" t="str">
        <x:v>Sports</x:v>
      </x:c>
      <x:c r="D652" t="str">
        <x:v>Convenience</x:v>
      </x:c>
      <x:c r="E652" t="str">
        <x:v>QLD</x:v>
      </x:c>
      <x:c r="F652" s="11" t="n">
        <x:v>57831.47</x:v>
      </x:c>
      <x:c r="G652" s="13" t="n">
        <x:v>11364</x:v>
      </x:c>
      <x:c r="H652" s="11" t="n">
        <x:v>31620.64</x:v>
      </x:c>
      <x:c r="I652" s="11" t="n">
        <x:v>57596.19</x:v>
      </x:c>
    </x:row>
    <x:row r="653">
      <x:c r="A653" t="n">
        <x:v>2023</x:v>
      </x:c>
      <x:c r="B653" t="str">
        <x:v>2023-09</x:v>
      </x:c>
      <x:c r="C653" t="str">
        <x:v>Sports</x:v>
      </x:c>
      <x:c r="D653" t="str">
        <x:v>Convenience</x:v>
      </x:c>
      <x:c r="E653" t="str">
        <x:v>VIC</x:v>
      </x:c>
      <x:c r="F653" s="11" t="n">
        <x:v>57830.92</x:v>
      </x:c>
      <x:c r="G653" s="13" t="n">
        <x:v>11303</x:v>
      </x:c>
      <x:c r="H653" s="11" t="n">
        <x:v>31928.65</x:v>
      </x:c>
      <x:c r="I653" s="11" t="n">
        <x:v>55865.6</x:v>
      </x:c>
    </x:row>
    <x:row r="654">
      <x:c r="A654" t="n">
        <x:v>2023</x:v>
      </x:c>
      <x:c r="B654" t="str">
        <x:v>2023-09</x:v>
      </x:c>
      <x:c r="C654" t="str">
        <x:v>Sports</x:v>
      </x:c>
      <x:c r="D654" t="str">
        <x:v>Grocery</x:v>
      </x:c>
      <x:c r="E654" t="str">
        <x:v>NSW</x:v>
      </x:c>
      <x:c r="F654" s="11" t="n">
        <x:v>156438.2</x:v>
      </x:c>
      <x:c r="G654" s="13" t="n">
        <x:v>38109</x:v>
      </x:c>
      <x:c r="H654" s="11" t="n">
        <x:v>69768.9</x:v>
      </x:c>
      <x:c r="I654" s="11" t="n">
        <x:v>148646.45</x:v>
      </x:c>
    </x:row>
    <x:row r="655">
      <x:c r="A655" t="n">
        <x:v>2023</x:v>
      </x:c>
      <x:c r="B655" t="str">
        <x:v>2023-09</x:v>
      </x:c>
      <x:c r="C655" t="str">
        <x:v>Sports</x:v>
      </x:c>
      <x:c r="D655" t="str">
        <x:v>Grocery</x:v>
      </x:c>
      <x:c r="E655" t="str">
        <x:v>QLD</x:v>
      </x:c>
      <x:c r="F655" s="11" t="n">
        <x:v>147810.23</x:v>
      </x:c>
      <x:c r="G655" s="13" t="n">
        <x:v>35184</x:v>
      </x:c>
      <x:c r="H655" s="11" t="n">
        <x:v>68325.87</x:v>
      </x:c>
      <x:c r="I655" s="11" t="n">
        <x:v>142916.64</x:v>
      </x:c>
    </x:row>
    <x:row r="656">
      <x:c r="A656" t="n">
        <x:v>2023</x:v>
      </x:c>
      <x:c r="B656" t="str">
        <x:v>2023-09</x:v>
      </x:c>
      <x:c r="C656" t="str">
        <x:v>Sports</x:v>
      </x:c>
      <x:c r="D656" t="str">
        <x:v>Grocery</x:v>
      </x:c>
      <x:c r="E656" t="str">
        <x:v>VIC</x:v>
      </x:c>
      <x:c r="F656" s="11" t="n">
        <x:v>144470.94</x:v>
      </x:c>
      <x:c r="G656" s="13" t="n">
        <x:v>35043</x:v>
      </x:c>
      <x:c r="H656" s="11" t="n">
        <x:v>64841.98</x:v>
      </x:c>
      <x:c r="I656" s="11" t="n">
        <x:v>138646.96</x:v>
      </x:c>
    </x:row>
    <x:row r="657">
      <x:c r="A657" t="n">
        <x:v>2023</x:v>
      </x:c>
      <x:c r="B657" t="str">
        <x:v>2023-09</x:v>
      </x:c>
      <x:c r="C657" t="str">
        <x:v>Sports</x:v>
      </x:c>
      <x:c r="D657" t="str">
        <x:v>Hospitality</x:v>
      </x:c>
      <x:c r="E657" t="str">
        <x:v>NSW</x:v>
      </x:c>
      <x:c r="F657" s="11" t="n">
        <x:v>19446.24</x:v>
      </x:c>
      <x:c r="G657" s="13" t="n">
        <x:v>5108</x:v>
      </x:c>
      <x:c r="H657" s="11" t="n">
        <x:v>7836.17</x:v>
      </x:c>
      <x:c r="I657" s="11" t="n">
        <x:v>18600.93</x:v>
      </x:c>
    </x:row>
    <x:row r="658">
      <x:c r="A658" t="n">
        <x:v>2023</x:v>
      </x:c>
      <x:c r="B658" t="str">
        <x:v>2023-09</x:v>
      </x:c>
      <x:c r="C658" t="str">
        <x:v>Sports</x:v>
      </x:c>
      <x:c r="D658" t="str">
        <x:v>Hospitality</x:v>
      </x:c>
      <x:c r="E658" t="str">
        <x:v>QLD</x:v>
      </x:c>
      <x:c r="F658" s="11" t="n">
        <x:v>18097.47</x:v>
      </x:c>
      <x:c r="G658" s="13" t="n">
        <x:v>4584</x:v>
      </x:c>
      <x:c r="H658" s="11" t="n">
        <x:v>7752.4</x:v>
      </x:c>
      <x:c r="I658" s="11" t="n">
        <x:v>17893.47</x:v>
      </x:c>
    </x:row>
    <x:row r="659">
      <x:c r="A659" t="n">
        <x:v>2023</x:v>
      </x:c>
      <x:c r="B659" t="str">
        <x:v>2023-09</x:v>
      </x:c>
      <x:c r="C659" t="str">
        <x:v>Sports</x:v>
      </x:c>
      <x:c r="D659" t="str">
        <x:v>Hospitality</x:v>
      </x:c>
      <x:c r="E659" t="str">
        <x:v>VIC</x:v>
      </x:c>
      <x:c r="F659" s="11" t="n">
        <x:v>18202.13</x:v>
      </x:c>
      <x:c r="G659" s="13" t="n">
        <x:v>4749</x:v>
      </x:c>
      <x:c r="H659" s="11" t="n">
        <x:v>7560.14</x:v>
      </x:c>
      <x:c r="I659" s="11" t="n">
        <x:v>17345.34</x:v>
      </x:c>
    </x:row>
    <x:row r="660">
      <x:c r="A660" t="n">
        <x:v>2023</x:v>
      </x:c>
      <x:c r="B660" t="str">
        <x:v>2023-09</x:v>
      </x:c>
      <x:c r="C660" t="str">
        <x:v>Sports</x:v>
      </x:c>
      <x:c r="D660" t="str">
        <x:v>Independent retail</x:v>
      </x:c>
      <x:c r="E660" t="str">
        <x:v>NSW</x:v>
      </x:c>
      <x:c r="F660" s="11" t="n">
        <x:v>52003.06</x:v>
      </x:c>
      <x:c r="G660" s="13" t="n">
        <x:v>11615</x:v>
      </x:c>
      <x:c r="H660" s="11" t="n">
        <x:v>25720.54</x:v>
      </x:c>
      <x:c r="I660" s="11" t="n">
        <x:v>50533.07</x:v>
      </x:c>
    </x:row>
    <x:row r="661">
      <x:c r="A661" t="n">
        <x:v>2023</x:v>
      </x:c>
      <x:c r="B661" t="str">
        <x:v>2023-09</x:v>
      </x:c>
      <x:c r="C661" t="str">
        <x:v>Sports</x:v>
      </x:c>
      <x:c r="D661" t="str">
        <x:v>Independent retail</x:v>
      </x:c>
      <x:c r="E661" t="str">
        <x:v>QLD</x:v>
      </x:c>
      <x:c r="F661" s="11" t="n">
        <x:v>50306.85</x:v>
      </x:c>
      <x:c r="G661" s="13" t="n">
        <x:v>11449</x:v>
      </x:c>
      <x:c r="H661" s="11" t="n">
        <x:v>23960.09</x:v>
      </x:c>
      <x:c r="I661" s="11" t="n">
        <x:v>48601.9</x:v>
      </x:c>
    </x:row>
    <x:row r="662">
      <x:c r="A662" t="n">
        <x:v>2023</x:v>
      </x:c>
      <x:c r="B662" t="str">
        <x:v>2023-09</x:v>
      </x:c>
      <x:c r="C662" t="str">
        <x:v>Sports</x:v>
      </x:c>
      <x:c r="D662" t="str">
        <x:v>Independent retail</x:v>
      </x:c>
      <x:c r="E662" t="str">
        <x:v>VIC</x:v>
      </x:c>
      <x:c r="F662" s="11" t="n">
        <x:v>46735.21</x:v>
      </x:c>
      <x:c r="G662" s="13" t="n">
        <x:v>10397</x:v>
      </x:c>
      <x:c r="H662" s="11" t="n">
        <x:v>22853.97</x:v>
      </x:c>
      <x:c r="I662" s="11" t="n">
        <x:v>47134.04</x:v>
      </x:c>
    </x:row>
    <x:row r="663">
      <x:c r="A663" t="n">
        <x:v>2023</x:v>
      </x:c>
      <x:c r="B663" t="str">
        <x:v>2023-09</x:v>
      </x:c>
      <x:c r="C663" t="str">
        <x:v>Sports</x:v>
      </x:c>
      <x:c r="D663" t="str">
        <x:v>Petrol</x:v>
      </x:c>
      <x:c r="E663" t="str">
        <x:v>NSW</x:v>
      </x:c>
      <x:c r="F663" s="11" t="n">
        <x:v>54919.340000000004</x:v>
      </x:c>
      <x:c r="G663" s="13" t="n">
        <x:v>11537</x:v>
      </x:c>
      <x:c r="H663" s="11" t="n">
        <x:v>28361.04</x:v>
      </x:c>
      <x:c r="I663" s="11" t="n">
        <x:v>54758.53</x:v>
      </x:c>
    </x:row>
    <x:row r="664">
      <x:c r="A664" t="n">
        <x:v>2023</x:v>
      </x:c>
      <x:c r="B664" t="str">
        <x:v>2023-09</x:v>
      </x:c>
      <x:c r="C664" t="str">
        <x:v>Sports</x:v>
      </x:c>
      <x:c r="D664" t="str">
        <x:v>Petrol</x:v>
      </x:c>
      <x:c r="E664" t="str">
        <x:v>QLD</x:v>
      </x:c>
      <x:c r="F664" s="11" t="n">
        <x:v>55421.86</x:v>
      </x:c>
      <x:c r="G664" s="13" t="n">
        <x:v>11910</x:v>
      </x:c>
      <x:c r="H664" s="11" t="n">
        <x:v>27954.34</x:v>
      </x:c>
      <x:c r="I664" s="11" t="n">
        <x:v>52655.840000000004</x:v>
      </x:c>
    </x:row>
    <x:row r="665">
      <x:c r="A665" t="n">
        <x:v>2023</x:v>
      </x:c>
      <x:c r="B665" t="str">
        <x:v>2023-09</x:v>
      </x:c>
      <x:c r="C665" t="str">
        <x:v>Sports</x:v>
      </x:c>
      <x:c r="D665" t="str">
        <x:v>Petrol</x:v>
      </x:c>
      <x:c r="E665" t="str">
        <x:v>VIC</x:v>
      </x:c>
      <x:c r="F665" s="11" t="n">
        <x:v>52742.13</x:v>
      </x:c>
      <x:c r="G665" s="13" t="n">
        <x:v>11379</x:v>
      </x:c>
      <x:c r="H665" s="11" t="n">
        <x:v>26707.8</x:v>
      </x:c>
      <x:c r="I665" s="11" t="n">
        <x:v>51054.43</x:v>
      </x:c>
    </x:row>
    <x:row r="666">
      <x:c r="A666" t="n">
        <x:v>2023</x:v>
      </x:c>
      <x:c r="B666" t="str">
        <x:v>2023-09</x:v>
      </x:c>
      <x:c r="C666" t="str">
        <x:v>Water</x:v>
      </x:c>
      <x:c r="D666" t="str">
        <x:v>Convenience</x:v>
      </x:c>
      <x:c r="E666" t="str">
        <x:v>NSW</x:v>
      </x:c>
      <x:c r="F666" s="11" t="n">
        <x:v>75368.41</x:v>
      </x:c>
      <x:c r="G666" s="13" t="n">
        <x:v>24353</x:v>
      </x:c>
      <x:c r="H666" s="11" t="n">
        <x:v>36359.49</x:v>
      </x:c>
      <x:c r="I666" s="11" t="n">
        <x:v>71326.91</x:v>
      </x:c>
    </x:row>
    <x:row r="667">
      <x:c r="A667" t="n">
        <x:v>2023</x:v>
      </x:c>
      <x:c r="B667" t="str">
        <x:v>2023-09</x:v>
      </x:c>
      <x:c r="C667" t="str">
        <x:v>Water</x:v>
      </x:c>
      <x:c r="D667" t="str">
        <x:v>Convenience</x:v>
      </x:c>
      <x:c r="E667" t="str">
        <x:v>QLD</x:v>
      </x:c>
      <x:c r="F667" s="11" t="n">
        <x:v>68477.17</x:v>
      </x:c>
      <x:c r="G667" s="13" t="n">
        <x:v>22547</x:v>
      </x:c>
      <x:c r="H667" s="11" t="n">
        <x:v>33077.61</x:v>
      </x:c>
      <x:c r="I667" s="11" t="n">
        <x:v>68579.2</x:v>
      </x:c>
    </x:row>
    <x:row r="668">
      <x:c r="A668" t="n">
        <x:v>2023</x:v>
      </x:c>
      <x:c r="B668" t="str">
        <x:v>2023-09</x:v>
      </x:c>
      <x:c r="C668" t="str">
        <x:v>Water</x:v>
      </x:c>
      <x:c r="D668" t="str">
        <x:v>Convenience</x:v>
      </x:c>
      <x:c r="E668" t="str">
        <x:v>VIC</x:v>
      </x:c>
      <x:c r="F668" s="11" t="n">
        <x:v>66624.68</x:v>
      </x:c>
      <x:c r="G668" s="13" t="n">
        <x:v>22182</x:v>
      </x:c>
      <x:c r="H668" s="11" t="n">
        <x:v>31885.04</x:v>
      </x:c>
      <x:c r="I668" s="11" t="n">
        <x:v>66513.19</x:v>
      </x:c>
    </x:row>
    <x:row r="669">
      <x:c r="A669" t="n">
        <x:v>2023</x:v>
      </x:c>
      <x:c r="B669" t="str">
        <x:v>2023-09</x:v>
      </x:c>
      <x:c r="C669" t="str">
        <x:v>Water</x:v>
      </x:c>
      <x:c r="D669" t="str">
        <x:v>Grocery</x:v>
      </x:c>
      <x:c r="E669" t="str">
        <x:v>NSW</x:v>
      </x:c>
      <x:c r="F669" s="11" t="n">
        <x:v>176313.16</x:v>
      </x:c>
      <x:c r="G669" s="13" t="n">
        <x:v>64253</x:v>
      </x:c>
      <x:c r="H669" s="11" t="n">
        <x:v>75680.32</x:v>
      </x:c>
      <x:c r="I669" s="11" t="n">
        <x:v>177968.04</x:v>
      </x:c>
    </x:row>
    <x:row r="670">
      <x:c r="A670" t="n">
        <x:v>2023</x:v>
      </x:c>
      <x:c r="B670" t="str">
        <x:v>2023-09</x:v>
      </x:c>
      <x:c r="C670" t="str">
        <x:v>Water</x:v>
      </x:c>
      <x:c r="D670" t="str">
        <x:v>Grocery</x:v>
      </x:c>
      <x:c r="E670" t="str">
        <x:v>QLD</x:v>
      </x:c>
      <x:c r="F670" s="11" t="n">
        <x:v>174680.86000000002</x:v>
      </x:c>
      <x:c r="G670" s="13" t="n">
        <x:v>64955</x:v>
      </x:c>
      <x:c r="H670" s="11" t="n">
        <x:v>71687.94</x:v>
      </x:c>
      <x:c r="I670" s="11" t="n">
        <x:v>171138.88</x:v>
      </x:c>
    </x:row>
    <x:row r="671">
      <x:c r="A671" t="n">
        <x:v>2023</x:v>
      </x:c>
      <x:c r="B671" t="str">
        <x:v>2023-09</x:v>
      </x:c>
      <x:c r="C671" t="str">
        <x:v>Water</x:v>
      </x:c>
      <x:c r="D671" t="str">
        <x:v>Grocery</x:v>
      </x:c>
      <x:c r="E671" t="str">
        <x:v>VIC</x:v>
      </x:c>
      <x:c r="F671" s="11" t="n">
        <x:v>168410.15</x:v>
      </x:c>
      <x:c r="G671" s="13" t="n">
        <x:v>61751</x:v>
      </x:c>
      <x:c r="H671" s="11" t="n">
        <x:v>71462.91</x:v>
      </x:c>
      <x:c r="I671" s="11" t="n">
        <x:v>166033.67</x:v>
      </x:c>
    </x:row>
    <x:row r="672">
      <x:c r="A672" t="n">
        <x:v>2023</x:v>
      </x:c>
      <x:c r="B672" t="str">
        <x:v>2023-09</x:v>
      </x:c>
      <x:c r="C672" t="str">
        <x:v>Water</x:v>
      </x:c>
      <x:c r="D672" t="str">
        <x:v>Hospitality</x:v>
      </x:c>
      <x:c r="E672" t="str">
        <x:v>NSW</x:v>
      </x:c>
      <x:c r="F672" s="11" t="n">
        <x:v>22627.84</x:v>
      </x:c>
      <x:c r="G672" s="13" t="n">
        <x:v>9016</x:v>
      </x:c>
      <x:c r="H672" s="11" t="n">
        <x:v>8468.64</x:v>
      </x:c>
      <x:c r="I672" s="11" t="n">
        <x:v>22248.35</x:v>
      </x:c>
    </x:row>
    <x:row r="673">
      <x:c r="A673" t="n">
        <x:v>2023</x:v>
      </x:c>
      <x:c r="B673" t="str">
        <x:v>2023-09</x:v>
      </x:c>
      <x:c r="C673" t="str">
        <x:v>Water</x:v>
      </x:c>
      <x:c r="D673" t="str">
        <x:v>Hospitality</x:v>
      </x:c>
      <x:c r="E673" t="str">
        <x:v>QLD</x:v>
      </x:c>
      <x:c r="F673" s="11" t="n">
        <x:v>22232.87</x:v>
      </x:c>
      <x:c r="G673" s="13" t="n">
        <x:v>9175</x:v>
      </x:c>
      <x:c r="H673" s="11" t="n">
        <x:v>7772.19</x:v>
      </x:c>
      <x:c r="I673" s="11" t="n">
        <x:v>21398.329999999998</x:v>
      </x:c>
    </x:row>
    <x:row r="674">
      <x:c r="A674" t="n">
        <x:v>2023</x:v>
      </x:c>
      <x:c r="B674" t="str">
        <x:v>2023-09</x:v>
      </x:c>
      <x:c r="C674" t="str">
        <x:v>Water</x:v>
      </x:c>
      <x:c r="D674" t="str">
        <x:v>Hospitality</x:v>
      </x:c>
      <x:c r="E674" t="str">
        <x:v>VIC</x:v>
      </x:c>
      <x:c r="F674" s="11" t="n">
        <x:v>20286.23</x:v>
      </x:c>
      <x:c r="G674" s="13" t="n">
        <x:v>8236</x:v>
      </x:c>
      <x:c r="H674" s="11" t="n">
        <x:v>7313.23</x:v>
      </x:c>
      <x:c r="I674" s="11" t="n">
        <x:v>20751.67</x:v>
      </x:c>
    </x:row>
    <x:row r="675">
      <x:c r="A675" t="n">
        <x:v>2023</x:v>
      </x:c>
      <x:c r="B675" t="str">
        <x:v>2023-09</x:v>
      </x:c>
      <x:c r="C675" t="str">
        <x:v>Water</x:v>
      </x:c>
      <x:c r="D675" t="str">
        <x:v>Independent retail</x:v>
      </x:c>
      <x:c r="E675" t="str">
        <x:v>NSW</x:v>
      </x:c>
      <x:c r="F675" s="11" t="n">
        <x:v>61878.89</x:v>
      </x:c>
      <x:c r="G675" s="13" t="n">
        <x:v>23677</x:v>
      </x:c>
      <x:c r="H675" s="11" t="n">
        <x:v>25412.49</x:v>
      </x:c>
      <x:c r="I675" s="11" t="n">
        <x:v>60498.33</x:v>
      </x:c>
    </x:row>
    <x:row r="676">
      <x:c r="A676" t="n">
        <x:v>2023</x:v>
      </x:c>
      <x:c r="B676" t="str">
        <x:v>2023-09</x:v>
      </x:c>
      <x:c r="C676" t="str">
        <x:v>Water</x:v>
      </x:c>
      <x:c r="D676" t="str">
        <x:v>Independent retail</x:v>
      </x:c>
      <x:c r="E676" t="str">
        <x:v>QLD</x:v>
      </x:c>
      <x:c r="F676" s="11" t="n">
        <x:v>60500.3</x:v>
      </x:c>
      <x:c r="G676" s="13" t="n">
        <x:v>22251</x:v>
      </x:c>
      <x:c r="H676" s="11" t="n">
        <x:v>25839.94</x:v>
      </x:c>
      <x:c r="I676" s="11" t="n">
        <x:v>58182.86</x:v>
      </x:c>
    </x:row>
    <x:row r="677">
      <x:c r="A677" t="n">
        <x:v>2023</x:v>
      </x:c>
      <x:c r="B677" t="str">
        <x:v>2023-09</x:v>
      </x:c>
      <x:c r="C677" t="str">
        <x:v>Water</x:v>
      </x:c>
      <x:c r="D677" t="str">
        <x:v>Independent retail</x:v>
      </x:c>
      <x:c r="E677" t="str">
        <x:v>VIC</x:v>
      </x:c>
      <x:c r="F677" s="11" t="n">
        <x:v>56874.98</x:v>
      </x:c>
      <x:c r="G677" s="13" t="n">
        <x:v>21247</x:v>
      </x:c>
      <x:c r="H677" s="11" t="n">
        <x:v>23741.78</x:v>
      </x:c>
      <x:c r="I677" s="11" t="n">
        <x:v>56440.29</x:v>
      </x:c>
    </x:row>
    <x:row r="678">
      <x:c r="A678" t="n">
        <x:v>2023</x:v>
      </x:c>
      <x:c r="B678" t="str">
        <x:v>2023-09</x:v>
      </x:c>
      <x:c r="C678" t="str">
        <x:v>Water</x:v>
      </x:c>
      <x:c r="D678" t="str">
        <x:v>Petrol</x:v>
      </x:c>
      <x:c r="E678" t="str">
        <x:v>NSW</x:v>
      </x:c>
      <x:c r="F678" s="11" t="n">
        <x:v>67427.46</x:v>
      </x:c>
      <x:c r="G678" s="13" t="n">
        <x:v>22522</x:v>
      </x:c>
      <x:c r="H678" s="11" t="n">
        <x:v>32063.66</x:v>
      </x:c>
      <x:c r="I678" s="11" t="n">
        <x:v>65150.32</x:v>
      </x:c>
    </x:row>
    <x:row r="679">
      <x:c r="A679" t="n">
        <x:v>2023</x:v>
      </x:c>
      <x:c r="B679" t="str">
        <x:v>2023-09</x:v>
      </x:c>
      <x:c r="C679" t="str">
        <x:v>Water</x:v>
      </x:c>
      <x:c r="D679" t="str">
        <x:v>Petrol</x:v>
      </x:c>
      <x:c r="E679" t="str">
        <x:v>QLD</x:v>
      </x:c>
      <x:c r="F679" s="11" t="n">
        <x:v>62102.61</x:v>
      </x:c>
      <x:c r="G679" s="13" t="n">
        <x:v>20297</x:v>
      </x:c>
      <x:c r="H679" s="11" t="n">
        <x:v>30462.81</x:v>
      </x:c>
      <x:c r="I679" s="11" t="n">
        <x:v>62643</x:v>
      </x:c>
    </x:row>
    <x:row r="680">
      <x:c r="A680" t="n">
        <x:v>2023</x:v>
      </x:c>
      <x:c r="B680" t="str">
        <x:v>2023-09</x:v>
      </x:c>
      <x:c r="C680" t="str">
        <x:v>Water</x:v>
      </x:c>
      <x:c r="D680" t="str">
        <x:v>Petrol</x:v>
      </x:c>
      <x:c r="E680" t="str">
        <x:v>VIC</x:v>
      </x:c>
      <x:c r="F680" s="11" t="n">
        <x:v>63574.93</x:v>
      </x:c>
      <x:c r="G680" s="13" t="n">
        <x:v>20849</x:v>
      </x:c>
      <x:c r="H680" s="11" t="n">
        <x:v>30824.09</x:v>
      </x:c>
      <x:c r="I680" s="11" t="n">
        <x:v>60752.81</x:v>
      </x:c>
    </x:row>
    <x:row r="681">
      <x:c r="A681" t="n">
        <x:v>2023</x:v>
      </x:c>
      <x:c r="B681" t="str">
        <x:v>2023-10</x:v>
      </x:c>
      <x:c r="C681" t="str">
        <x:v>Coffee</x:v>
      </x:c>
      <x:c r="D681" t="str">
        <x:v>Convenience</x:v>
      </x:c>
      <x:c r="E681" t="str">
        <x:v>NSW</x:v>
      </x:c>
      <x:c r="F681" s="11" t="n">
        <x:v>27200.59</x:v>
      </x:c>
      <x:c r="G681" s="13" t="n">
        <x:v>5274</x:v>
      </x:c>
      <x:c r="H681" s="11" t="n">
        <x:v>12179.9</x:v>
      </x:c>
      <x:c r="I681" s="11" t="n">
        <x:v>27168.24</x:v>
      </x:c>
    </x:row>
    <x:row r="682">
      <x:c r="A682" t="n">
        <x:v>2023</x:v>
      </x:c>
      <x:c r="B682" t="str">
        <x:v>2023-10</x:v>
      </x:c>
      <x:c r="C682" t="str">
        <x:v>Coffee</x:v>
      </x:c>
      <x:c r="D682" t="str">
        <x:v>Convenience</x:v>
      </x:c>
      <x:c r="E682" t="str">
        <x:v>QLD</x:v>
      </x:c>
      <x:c r="F682" s="11" t="n">
        <x:v>26476.76</x:v>
      </x:c>
      <x:c r="G682" s="13" t="n">
        <x:v>5135</x:v>
      </x:c>
      <x:c r="H682" s="11" t="n">
        <x:v>11828.83</x:v>
      </x:c>
      <x:c r="I682" s="11" t="n">
        <x:v>26122.15</x:v>
      </x:c>
    </x:row>
    <x:row r="683">
      <x:c r="A683" t="n">
        <x:v>2023</x:v>
      </x:c>
      <x:c r="B683" t="str">
        <x:v>2023-10</x:v>
      </x:c>
      <x:c r="C683" t="str">
        <x:v>Coffee</x:v>
      </x:c>
      <x:c r="D683" t="str">
        <x:v>Convenience</x:v>
      </x:c>
      <x:c r="E683" t="str">
        <x:v>VIC</x:v>
      </x:c>
      <x:c r="F683" s="11" t="n">
        <x:v>25510.52</x:v>
      </x:c>
      <x:c r="G683" s="13" t="n">
        <x:v>4868</x:v>
      </x:c>
      <x:c r="H683" s="11" t="n">
        <x:v>11594.9</x:v>
      </x:c>
      <x:c r="I683" s="11" t="n">
        <x:v>25333.84</x:v>
      </x:c>
    </x:row>
    <x:row r="684">
      <x:c r="A684" t="n">
        <x:v>2023</x:v>
      </x:c>
      <x:c r="B684" t="str">
        <x:v>2023-10</x:v>
      </x:c>
      <x:c r="C684" t="str">
        <x:v>Coffee</x:v>
      </x:c>
      <x:c r="D684" t="str">
        <x:v>Grocery</x:v>
      </x:c>
      <x:c r="E684" t="str">
        <x:v>NSW</x:v>
      </x:c>
      <x:c r="F684" s="11" t="n">
        <x:v>68379.26</x:v>
      </x:c>
      <x:c r="G684" s="13" t="n">
        <x:v>16156</x:v>
      </x:c>
      <x:c r="H684" s="11" t="n">
        <x:v>22075.51</x:v>
      </x:c>
      <x:c r="I684" s="11" t="n">
        <x:v>67416.41</x:v>
      </x:c>
    </x:row>
    <x:row r="685">
      <x:c r="A685" t="n">
        <x:v>2023</x:v>
      </x:c>
      <x:c r="B685" t="str">
        <x:v>2023-10</x:v>
      </x:c>
      <x:c r="C685" t="str">
        <x:v>Coffee</x:v>
      </x:c>
      <x:c r="D685" t="str">
        <x:v>Grocery</x:v>
      </x:c>
      <x:c r="E685" t="str">
        <x:v>QLD</x:v>
      </x:c>
      <x:c r="F685" s="11" t="n">
        <x:v>66551.61</x:v>
      </x:c>
      <x:c r="G685" s="13" t="n">
        <x:v>15286</x:v>
      </x:c>
      <x:c r="H685" s="11" t="n">
        <x:v>23017.9</x:v>
      </x:c>
      <x:c r="I685" s="11" t="n">
        <x:v>64819.14</x:v>
      </x:c>
    </x:row>
    <x:row r="686">
      <x:c r="A686" t="n">
        <x:v>2023</x:v>
      </x:c>
      <x:c r="B686" t="str">
        <x:v>2023-10</x:v>
      </x:c>
      <x:c r="C686" t="str">
        <x:v>Coffee</x:v>
      </x:c>
      <x:c r="D686" t="str">
        <x:v>Grocery</x:v>
      </x:c>
      <x:c r="E686" t="str">
        <x:v>VIC</x:v>
      </x:c>
      <x:c r="F686" s="11" t="n">
        <x:v>62858.81</x:v>
      </x:c>
      <x:c r="G686" s="13" t="n">
        <x:v>14837</x:v>
      </x:c>
      <x:c r="H686" s="11" t="n">
        <x:v>20392.37</x:v>
      </x:c>
      <x:c r="I686" s="11" t="n">
        <x:v>62870.37</x:v>
      </x:c>
    </x:row>
    <x:row r="687">
      <x:c r="A687" t="n">
        <x:v>2023</x:v>
      </x:c>
      <x:c r="B687" t="str">
        <x:v>2023-10</x:v>
      </x:c>
      <x:c r="C687" t="str">
        <x:v>Coffee</x:v>
      </x:c>
      <x:c r="D687" t="str">
        <x:v>Hospitality</x:v>
      </x:c>
      <x:c r="E687" t="str">
        <x:v>NSW</x:v>
      </x:c>
      <x:c r="F687" s="11" t="n">
        <x:v>8450.88</x:v>
      </x:c>
      <x:c r="G687" s="13" t="n">
        <x:v>2156</x:v>
      </x:c>
      <x:c r="H687" s="11" t="n">
        <x:v>2251.09</x:v>
      </x:c>
      <x:c r="I687" s="11" t="n">
        <x:v>8461.6</x:v>
      </x:c>
    </x:row>
    <x:row r="688">
      <x:c r="A688" t="n">
        <x:v>2023</x:v>
      </x:c>
      <x:c r="B688" t="str">
        <x:v>2023-10</x:v>
      </x:c>
      <x:c r="C688" t="str">
        <x:v>Coffee</x:v>
      </x:c>
      <x:c r="D688" t="str">
        <x:v>Hospitality</x:v>
      </x:c>
      <x:c r="E688" t="str">
        <x:v>QLD</x:v>
      </x:c>
      <x:c r="F688" s="11" t="n">
        <x:v>8469.03</x:v>
      </x:c>
      <x:c r="G688" s="13" t="n">
        <x:v>2080</x:v>
      </x:c>
      <x:c r="H688" s="11" t="n">
        <x:v>2564.51</x:v>
      </x:c>
      <x:c r="I688" s="11" t="n">
        <x:v>8122.0199999999995</x:v>
      </x:c>
    </x:row>
    <x:row r="689">
      <x:c r="A689" t="n">
        <x:v>2023</x:v>
      </x:c>
      <x:c r="B689" t="str">
        <x:v>2023-10</x:v>
      </x:c>
      <x:c r="C689" t="str">
        <x:v>Coffee</x:v>
      </x:c>
      <x:c r="D689" t="str">
        <x:v>Hospitality</x:v>
      </x:c>
      <x:c r="E689" t="str">
        <x:v>VIC</x:v>
      </x:c>
      <x:c r="F689" s="11" t="n">
        <x:v>8249.86</x:v>
      </x:c>
      <x:c r="G689" s="13" t="n">
        <x:v>2071</x:v>
      </x:c>
      <x:c r="H689" s="11" t="n">
        <x:v>2363.36</x:v>
      </x:c>
      <x:c r="I689" s="11" t="n">
        <x:v>7900.98</x:v>
      </x:c>
    </x:row>
    <x:row r="690">
      <x:c r="A690" t="n">
        <x:v>2023</x:v>
      </x:c>
      <x:c r="B690" t="str">
        <x:v>2023-10</x:v>
      </x:c>
      <x:c r="C690" t="str">
        <x:v>Coffee</x:v>
      </x:c>
      <x:c r="D690" t="str">
        <x:v>Independent retail</x:v>
      </x:c>
      <x:c r="E690" t="str">
        <x:v>NSW</x:v>
      </x:c>
      <x:c r="F690" s="11" t="n">
        <x:v>22707.89</x:v>
      </x:c>
      <x:c r="G690" s="13" t="n">
        <x:v>4907</x:v>
      </x:c>
      <x:c r="H690" s="11" t="n">
        <x:v>8748.25</x:v>
      </x:c>
      <x:c r="I690" s="11" t="n">
        <x:v>22921.87</x:v>
      </x:c>
    </x:row>
    <x:row r="691">
      <x:c r="A691" t="n">
        <x:v>2023</x:v>
      </x:c>
      <x:c r="B691" t="str">
        <x:v>2023-10</x:v>
      </x:c>
      <x:c r="C691" t="str">
        <x:v>Coffee</x:v>
      </x:c>
      <x:c r="D691" t="str">
        <x:v>Independent retail</x:v>
      </x:c>
      <x:c r="E691" t="str">
        <x:v>QLD</x:v>
      </x:c>
      <x:c r="F691" s="11" t="n">
        <x:v>22370.72</x:v>
      </x:c>
      <x:c r="G691" s="13" t="n">
        <x:v>5004</x:v>
      </x:c>
      <x:c r="H691" s="11" t="n">
        <x:v>7971.2699999999995</x:v>
      </x:c>
      <x:c r="I691" s="11" t="n">
        <x:v>22020.15</x:v>
      </x:c>
    </x:row>
    <x:row r="692">
      <x:c r="A692" t="n">
        <x:v>2023</x:v>
      </x:c>
      <x:c r="B692" t="str">
        <x:v>2023-10</x:v>
      </x:c>
      <x:c r="C692" t="str">
        <x:v>Coffee</x:v>
      </x:c>
      <x:c r="D692" t="str">
        <x:v>Independent retail</x:v>
      </x:c>
      <x:c r="E692" t="str">
        <x:v>VIC</x:v>
      </x:c>
      <x:c r="F692" s="11" t="n">
        <x:v>22367.6</x:v>
      </x:c>
      <x:c r="G692" s="13" t="n">
        <x:v>4918</x:v>
      </x:c>
      <x:c r="H692" s="11" t="n">
        <x:v>8425.11</x:v>
      </x:c>
      <x:c r="I692" s="11" t="n">
        <x:v>21368.2</x:v>
      </x:c>
    </x:row>
    <x:row r="693">
      <x:c r="A693" t="n">
        <x:v>2023</x:v>
      </x:c>
      <x:c r="B693" t="str">
        <x:v>2023-10</x:v>
      </x:c>
      <x:c r="C693" t="str">
        <x:v>Coffee</x:v>
      </x:c>
      <x:c r="D693" t="str">
        <x:v>Petrol</x:v>
      </x:c>
      <x:c r="E693" t="str">
        <x:v>NSW</x:v>
      </x:c>
      <x:c r="F693" s="11" t="n">
        <x:v>24746.4</x:v>
      </x:c>
      <x:c r="G693" s="13" t="n">
        <x:v>5057</x:v>
      </x:c>
      <x:c r="H693" s="11" t="n">
        <x:v>10203.51</x:v>
      </x:c>
      <x:c r="I693" s="11" t="n">
        <x:v>24694.43</x:v>
      </x:c>
    </x:row>
    <x:row r="694">
      <x:c r="A694" t="n">
        <x:v>2023</x:v>
      </x:c>
      <x:c r="B694" t="str">
        <x:v>2023-10</x:v>
      </x:c>
      <x:c r="C694" t="str">
        <x:v>Coffee</x:v>
      </x:c>
      <x:c r="D694" t="str">
        <x:v>Petrol</x:v>
      </x:c>
      <x:c r="E694" t="str">
        <x:v>QLD</x:v>
      </x:c>
      <x:c r="F694" s="11" t="n">
        <x:v>23831.2</x:v>
      </x:c>
      <x:c r="G694" s="13" t="n">
        <x:v>4980</x:v>
      </x:c>
      <x:c r="H694" s="11" t="n">
        <x:v>9487.38</x:v>
      </x:c>
      <x:c r="I694" s="11" t="n">
        <x:v>23736.8</x:v>
      </x:c>
    </x:row>
    <x:row r="695">
      <x:c r="A695" t="n">
        <x:v>2023</x:v>
      </x:c>
      <x:c r="B695" t="str">
        <x:v>2023-10</x:v>
      </x:c>
      <x:c r="C695" t="str">
        <x:v>Coffee</x:v>
      </x:c>
      <x:c r="D695" t="str">
        <x:v>Petrol</x:v>
      </x:c>
      <x:c r="E695" t="str">
        <x:v>VIC</x:v>
      </x:c>
      <x:c r="F695" s="11" t="n">
        <x:v>23662.58</x:v>
      </x:c>
      <x:c r="G695" s="13" t="n">
        <x:v>4951</x:v>
      </x:c>
      <x:c r="H695" s="11" t="n">
        <x:v>9464.18</x:v>
      </x:c>
      <x:c r="I695" s="11" t="n">
        <x:v>23031.149999999998</x:v>
      </x:c>
    </x:row>
    <x:row r="696">
      <x:c r="A696" t="n">
        <x:v>2023</x:v>
      </x:c>
      <x:c r="B696" t="str">
        <x:v>2023-10</x:v>
      </x:c>
      <x:c r="C696" t="str">
        <x:v>Energy</x:v>
      </x:c>
      <x:c r="D696" t="str">
        <x:v>Convenience</x:v>
      </x:c>
      <x:c r="E696" t="str">
        <x:v>NSW</x:v>
      </x:c>
      <x:c r="F696" s="11" t="n">
        <x:v>66072.58</x:v>
      </x:c>
      <x:c r="G696" s="13" t="n">
        <x:v>12312</x:v>
      </x:c>
      <x:c r="H696" s="11" t="n">
        <x:v>39858.42</x:v>
      </x:c>
      <x:c r="I696" s="11" t="n">
        <x:v>99955.67</x:v>
      </x:c>
    </x:row>
    <x:row r="697">
      <x:c r="A697" t="n">
        <x:v>2023</x:v>
      </x:c>
      <x:c r="B697" t="str">
        <x:v>2023-10</x:v>
      </x:c>
      <x:c r="C697" t="str">
        <x:v>Energy</x:v>
      </x:c>
      <x:c r="D697" t="str">
        <x:v>Convenience</x:v>
      </x:c>
      <x:c r="E697" t="str">
        <x:v>QLD</x:v>
      </x:c>
      <x:c r="F697" s="11" t="n">
        <x:v>64336.95</x:v>
      </x:c>
      <x:c r="G697" s="13" t="n">
        <x:v>12485</x:v>
      </x:c>
      <x:c r="H697" s="11" t="n">
        <x:v>38215.51</x:v>
      </x:c>
      <x:c r="I697" s="11" t="n">
        <x:v>96107.74</x:v>
      </x:c>
    </x:row>
    <x:row r="698">
      <x:c r="A698" t="n">
        <x:v>2023</x:v>
      </x:c>
      <x:c r="B698" t="str">
        <x:v>2023-10</x:v>
      </x:c>
      <x:c r="C698" t="str">
        <x:v>Energy</x:v>
      </x:c>
      <x:c r="D698" t="str">
        <x:v>Convenience</x:v>
      </x:c>
      <x:c r="E698" t="str">
        <x:v>VIC</x:v>
      </x:c>
      <x:c r="F698" s="11" t="n">
        <x:v>62599.67</x:v>
      </x:c>
      <x:c r="G698" s="13" t="n">
        <x:v>11747</x:v>
      </x:c>
      <x:c r="H698" s="11" t="n">
        <x:v>37439.99</x:v>
      </x:c>
      <x:c r="I698" s="11" t="n">
        <x:v>93234</x:v>
      </x:c>
    </x:row>
    <x:row r="699">
      <x:c r="A699" t="n">
        <x:v>2023</x:v>
      </x:c>
      <x:c r="B699" t="str">
        <x:v>2023-10</x:v>
      </x:c>
      <x:c r="C699" t="str">
        <x:v>Energy</x:v>
      </x:c>
      <x:c r="D699" t="str">
        <x:v>Grocery</x:v>
      </x:c>
      <x:c r="E699" t="str">
        <x:v>NSW</x:v>
      </x:c>
      <x:c r="F699" s="11" t="n">
        <x:v>261592.12</x:v>
      </x:c>
      <x:c r="G699" s="13" t="n">
        <x:v>56354</x:v>
      </x:c>
      <x:c r="H699" s="11" t="n">
        <x:v>142937.56</x:v>
      </x:c>
      <x:c r="I699" s="11" t="n">
        <x:v>248960.86</x:v>
      </x:c>
    </x:row>
    <x:row r="700">
      <x:c r="A700" t="n">
        <x:v>2023</x:v>
      </x:c>
      <x:c r="B700" t="str">
        <x:v>2023-10</x:v>
      </x:c>
      <x:c r="C700" t="str">
        <x:v>Energy</x:v>
      </x:c>
      <x:c r="D700" t="str">
        <x:v>Grocery</x:v>
      </x:c>
      <x:c r="E700" t="str">
        <x:v>QLD</x:v>
      </x:c>
      <x:c r="F700" s="11" t="n">
        <x:v>253705.35</x:v>
      </x:c>
      <x:c r="G700" s="13" t="n">
        <x:v>53539</x:v>
      </x:c>
      <x:c r="H700" s="11" t="n">
        <x:v>139332.07</x:v>
      </x:c>
      <x:c r="I700" s="11" t="n">
        <x:v>239387.06</x:v>
      </x:c>
    </x:row>
    <x:row r="701">
      <x:c r="A701" t="n">
        <x:v>2023</x:v>
      </x:c>
      <x:c r="B701" t="str">
        <x:v>2023-10</x:v>
      </x:c>
      <x:c r="C701" t="str">
        <x:v>Energy</x:v>
      </x:c>
      <x:c r="D701" t="str">
        <x:v>Grocery</x:v>
      </x:c>
      <x:c r="E701" t="str">
        <x:v>VIC</x:v>
      </x:c>
      <x:c r="F701" s="11" t="n">
        <x:v>237341.75</x:v>
      </x:c>
      <x:c r="G701" s="13" t="n">
        <x:v>51239</x:v>
      </x:c>
      <x:c r="H701" s="11" t="n">
        <x:v>129931.31</x:v>
      </x:c>
      <x:c r="I701" s="11" t="n">
        <x:v>232218.51</x:v>
      </x:c>
    </x:row>
    <x:row r="702">
      <x:c r="A702" t="n">
        <x:v>2023</x:v>
      </x:c>
      <x:c r="B702" t="str">
        <x:v>2023-10</x:v>
      </x:c>
      <x:c r="C702" t="str">
        <x:v>Energy</x:v>
      </x:c>
      <x:c r="D702" t="str">
        <x:v>Hospitality</x:v>
      </x:c>
      <x:c r="E702" t="str">
        <x:v>NSW</x:v>
      </x:c>
      <x:c r="F702" s="11" t="n">
        <x:v>32330.53</x:v>
      </x:c>
      <x:c r="G702" s="13" t="n">
        <x:v>7540</x:v>
      </x:c>
      <x:c r="H702" s="11" t="n">
        <x:v>16460.61</x:v>
      </x:c>
      <x:c r="I702" s="11" t="n">
        <x:v>31156.45</x:v>
      </x:c>
    </x:row>
    <x:row r="703">
      <x:c r="A703" t="n">
        <x:v>2023</x:v>
      </x:c>
      <x:c r="B703" t="str">
        <x:v>2023-10</x:v>
      </x:c>
      <x:c r="C703" t="str">
        <x:v>Energy</x:v>
      </x:c>
      <x:c r="D703" t="str">
        <x:v>Hospitality</x:v>
      </x:c>
      <x:c r="E703" t="str">
        <x:v>QLD</x:v>
      </x:c>
      <x:c r="F703" s="11" t="n">
        <x:v>31426.8</x:v>
      </x:c>
      <x:c r="G703" s="13" t="n">
        <x:v>7389</x:v>
      </x:c>
      <x:c r="H703" s="11" t="n">
        <x:v>15695.08</x:v>
      </x:c>
      <x:c r="I703" s="11" t="n">
        <x:v>29950.49</x:v>
      </x:c>
    </x:row>
    <x:row r="704">
      <x:c r="A704" t="n">
        <x:v>2023</x:v>
      </x:c>
      <x:c r="B704" t="str">
        <x:v>2023-10</x:v>
      </x:c>
      <x:c r="C704" t="str">
        <x:v>Energy</x:v>
      </x:c>
      <x:c r="D704" t="str">
        <x:v>Hospitality</x:v>
      </x:c>
      <x:c r="E704" t="str">
        <x:v>VIC</x:v>
      </x:c>
      <x:c r="F704" s="11" t="n">
        <x:v>30855.51</x:v>
      </x:c>
      <x:c r="G704" s="13" t="n">
        <x:v>7044</x:v>
      </x:c>
      <x:c r="H704" s="11" t="n">
        <x:v>15724.95</x:v>
      </x:c>
      <x:c r="I704" s="11" t="n">
        <x:v>29049.31</x:v>
      </x:c>
    </x:row>
    <x:row r="705">
      <x:c r="A705" t="n">
        <x:v>2023</x:v>
      </x:c>
      <x:c r="B705" t="str">
        <x:v>2023-10</x:v>
      </x:c>
      <x:c r="C705" t="str">
        <x:v>Energy</x:v>
      </x:c>
      <x:c r="D705" t="str">
        <x:v>Independent retail</x:v>
      </x:c>
      <x:c r="E705" t="str">
        <x:v>NSW</x:v>
      </x:c>
      <x:c r="F705" s="11" t="n">
        <x:v>90331.52</x:v>
      </x:c>
      <x:c r="G705" s="13" t="n">
        <x:v>18848</x:v>
      </x:c>
      <x:c r="H705" s="11" t="n">
        <x:v>49488.08</x:v>
      </x:c>
      <x:c r="I705" s="11" t="n">
        <x:v>84580.91</x:v>
      </x:c>
    </x:row>
    <x:row r="706">
      <x:c r="A706" t="n">
        <x:v>2023</x:v>
      </x:c>
      <x:c r="B706" t="str">
        <x:v>2023-10</x:v>
      </x:c>
      <x:c r="C706" t="str">
        <x:v>Energy</x:v>
      </x:c>
      <x:c r="D706" t="str">
        <x:v>Independent retail</x:v>
      </x:c>
      <x:c r="E706" t="str">
        <x:v>QLD</x:v>
      </x:c>
      <x:c r="F706" s="11" t="n">
        <x:v>84747.35</x:v>
      </x:c>
      <x:c r="G706" s="13" t="n">
        <x:v>18236</x:v>
      </x:c>
      <x:c r="H706" s="11" t="n">
        <x:v>46028.47</x:v>
      </x:c>
      <x:c r="I706" s="11" t="n">
        <x:v>81322.20999999999</x:v>
      </x:c>
    </x:row>
    <x:row r="707">
      <x:c r="A707" t="n">
        <x:v>2023</x:v>
      </x:c>
      <x:c r="B707" t="str">
        <x:v>2023-10</x:v>
      </x:c>
      <x:c r="C707" t="str">
        <x:v>Energy</x:v>
      </x:c>
      <x:c r="D707" t="str">
        <x:v>Independent retail</x:v>
      </x:c>
      <x:c r="E707" t="str">
        <x:v>VIC</x:v>
      </x:c>
      <x:c r="F707" s="11" t="n">
        <x:v>82888.37</x:v>
      </x:c>
      <x:c r="G707" s="13" t="n">
        <x:v>17752</x:v>
      </x:c>
      <x:c r="H707" s="11" t="n">
        <x:v>45083.05</x:v>
      </x:c>
      <x:c r="I707" s="11" t="n">
        <x:v>78885.28</x:v>
      </x:c>
    </x:row>
    <x:row r="708">
      <x:c r="A708" t="n">
        <x:v>2023</x:v>
      </x:c>
      <x:c r="B708" t="str">
        <x:v>2023-10</x:v>
      </x:c>
      <x:c r="C708" t="str">
        <x:v>Energy</x:v>
      </x:c>
      <x:c r="D708" t="str">
        <x:v>Petrol</x:v>
      </x:c>
      <x:c r="E708" t="str">
        <x:v>NSW</x:v>
      </x:c>
      <x:c r="F708" s="11" t="n">
        <x:v>96848.15</x:v>
      </x:c>
      <x:c r="G708" s="13" t="n">
        <x:v>19119</x:v>
      </x:c>
      <x:c r="H708" s="11" t="n">
        <x:v>56091.91</x:v>
      </x:c>
      <x:c r="I708" s="11" t="n">
        <x:v>91124.41</x:v>
      </x:c>
    </x:row>
    <x:row r="709">
      <x:c r="A709" t="n">
        <x:v>2023</x:v>
      </x:c>
      <x:c r="B709" t="str">
        <x:v>2023-10</x:v>
      </x:c>
      <x:c r="C709" t="str">
        <x:v>Energy</x:v>
      </x:c>
      <x:c r="D709" t="str">
        <x:v>Petrol</x:v>
      </x:c>
      <x:c r="E709" t="str">
        <x:v>QLD</x:v>
      </x:c>
      <x:c r="F709" s="11" t="n">
        <x:v>89050.96</x:v>
      </x:c>
      <x:c r="G709" s="13" t="n">
        <x:v>17231</x:v>
      </x:c>
      <x:c r="H709" s="11" t="n">
        <x:v>52935.48</x:v>
      </x:c>
      <x:c r="I709" s="11" t="n">
        <x:v>87633.12</x:v>
      </x:c>
    </x:row>
    <x:row r="710">
      <x:c r="A710" t="n">
        <x:v>2023</x:v>
      </x:c>
      <x:c r="B710" t="str">
        <x:v>2023-10</x:v>
      </x:c>
      <x:c r="C710" t="str">
        <x:v>Energy</x:v>
      </x:c>
      <x:c r="D710" t="str">
        <x:v>Petrol</x:v>
      </x:c>
      <x:c r="E710" t="str">
        <x:v>VIC</x:v>
      </x:c>
      <x:c r="F710" s="11" t="n">
        <x:v>87348.52</x:v>
      </x:c>
      <x:c r="G710" s="13" t="n">
        <x:v>17192</x:v>
      </x:c>
      <x:c r="H710" s="11" t="n">
        <x:v>51433.28</x:v>
      </x:c>
      <x:c r="I710" s="11" t="n">
        <x:v>84996.32</x:v>
      </x:c>
    </x:row>
    <x:row r="711">
      <x:c r="A711" t="n">
        <x:v>2023</x:v>
      </x:c>
      <x:c r="B711" t="str">
        <x:v>2023-10</x:v>
      </x:c>
      <x:c r="C711" t="str">
        <x:v>Sparkling</x:v>
      </x:c>
      <x:c r="D711" t="str">
        <x:v>Convenience</x:v>
      </x:c>
      <x:c r="E711" t="str">
        <x:v>NSW</x:v>
      </x:c>
      <x:c r="F711" s="11" t="n">
        <x:v>124874.92</x:v>
      </x:c>
      <x:c r="G711" s="13" t="n">
        <x:v>31506</x:v>
      </x:c>
      <x:c r="H711" s="11" t="n">
        <x:v>68396.06</x:v>
      </x:c>
      <x:c r="I711" s="11" t="n">
        <x:v>121548.91</x:v>
      </x:c>
    </x:row>
    <x:row r="712">
      <x:c r="A712" t="n">
        <x:v>2023</x:v>
      </x:c>
      <x:c r="B712" t="str">
        <x:v>2023-10</x:v>
      </x:c>
      <x:c r="C712" t="str">
        <x:v>Sparkling</x:v>
      </x:c>
      <x:c r="D712" t="str">
        <x:v>Convenience</x:v>
      </x:c>
      <x:c r="E712" t="str">
        <x:v>QLD</x:v>
      </x:c>
      <x:c r="F712" s="11" t="n">
        <x:v>122117.4</x:v>
      </x:c>
      <x:c r="G712" s="13" t="n">
        <x:v>30930</x:v>
      </x:c>
      <x:c r="H712" s="11" t="n">
        <x:v>67174.06</x:v>
      </x:c>
      <x:c r="I712" s="11" t="n">
        <x:v>116870.37</x:v>
      </x:c>
    </x:row>
    <x:row r="713">
      <x:c r="A713" t="n">
        <x:v>2023</x:v>
      </x:c>
      <x:c r="B713" t="str">
        <x:v>2023-10</x:v>
      </x:c>
      <x:c r="C713" t="str">
        <x:v>Sparkling</x:v>
      </x:c>
      <x:c r="D713" t="str">
        <x:v>Convenience</x:v>
      </x:c>
      <x:c r="E713" t="str">
        <x:v>VIC</x:v>
      </x:c>
      <x:c r="F713" s="11" t="n">
        <x:v>116809.75</x:v>
      </x:c>
      <x:c r="G713" s="13" t="n">
        <x:v>29272</x:v>
      </x:c>
      <x:c r="H713" s="11" t="n">
        <x:v>64055.93</x:v>
      </x:c>
      <x:c r="I713" s="11" t="n">
        <x:v>113370.18</x:v>
      </x:c>
    </x:row>
    <x:row r="714">
      <x:c r="A714" t="n">
        <x:v>2023</x:v>
      </x:c>
      <x:c r="B714" t="str">
        <x:v>2023-10</x:v>
      </x:c>
      <x:c r="C714" t="str">
        <x:v>Sparkling</x:v>
      </x:c>
      <x:c r="D714" t="str">
        <x:v>Grocery</x:v>
      </x:c>
      <x:c r="E714" t="str">
        <x:v>NSW</x:v>
      </x:c>
      <x:c r="F714" s="11" t="n">
        <x:v>311851.28</x:v>
      </x:c>
      <x:c r="G714" s="13" t="n">
        <x:v>88612</x:v>
      </x:c>
      <x:c r="H714" s="11" t="n">
        <x:v>152914.78</x:v>
      </x:c>
      <x:c r="I714" s="11" t="n">
        <x:v>302372.44</x:v>
      </x:c>
    </x:row>
    <x:row r="715">
      <x:c r="A715" t="n">
        <x:v>2023</x:v>
      </x:c>
      <x:c r="B715" t="str">
        <x:v>2023-10</x:v>
      </x:c>
      <x:c r="C715" t="str">
        <x:v>Sparkling</x:v>
      </x:c>
      <x:c r="D715" t="str">
        <x:v>Grocery</x:v>
      </x:c>
      <x:c r="E715" t="str">
        <x:v>QLD</x:v>
      </x:c>
      <x:c r="F715" s="11" t="n">
        <x:v>300431.05</x:v>
      </x:c>
      <x:c r="G715" s="13" t="n">
        <x:v>87555</x:v>
      </x:c>
      <x:c r="H715" s="11" t="n">
        <x:v>142224.07</x:v>
      </x:c>
      <x:c r="I715" s="11" t="n">
        <x:v>290791.46</x:v>
      </x:c>
    </x:row>
    <x:row r="716">
      <x:c r="A716" t="n">
        <x:v>2023</x:v>
      </x:c>
      <x:c r="B716" t="str">
        <x:v>2023-10</x:v>
      </x:c>
      <x:c r="C716" t="str">
        <x:v>Sparkling</x:v>
      </x:c>
      <x:c r="D716" t="str">
        <x:v>Grocery</x:v>
      </x:c>
      <x:c r="E716" t="str">
        <x:v>VIC</x:v>
      </x:c>
      <x:c r="F716" s="11" t="n">
        <x:v>294711.97</x:v>
      </x:c>
      <x:c r="G716" s="13" t="n">
        <x:v>84672</x:v>
      </x:c>
      <x:c r="H716" s="11" t="n">
        <x:v>142263.17</x:v>
      </x:c>
      <x:c r="I716" s="11" t="n">
        <x:v>282052.35</x:v>
      </x:c>
    </x:row>
    <x:row r="717">
      <x:c r="A717" t="n">
        <x:v>2023</x:v>
      </x:c>
      <x:c r="B717" t="str">
        <x:v>2023-10</x:v>
      </x:c>
      <x:c r="C717" t="str">
        <x:v>Sparkling</x:v>
      </x:c>
      <x:c r="D717" t="str">
        <x:v>Hospitality</x:v>
      </x:c>
      <x:c r="E717" t="str">
        <x:v>NSW</x:v>
      </x:c>
      <x:c r="F717" s="11" t="n">
        <x:v>40412.44</x:v>
      </x:c>
      <x:c r="G717" s="13" t="n">
        <x:v>12559</x:v>
      </x:c>
      <x:c r="H717" s="11" t="n">
        <x:v>17742.64</x:v>
      </x:c>
      <x:c r="I717" s="11" t="n">
        <x:v>37810.02</x:v>
      </x:c>
    </x:row>
    <x:row r="718">
      <x:c r="A718" t="n">
        <x:v>2023</x:v>
      </x:c>
      <x:c r="B718" t="str">
        <x:v>2023-10</x:v>
      </x:c>
      <x:c r="C718" t="str">
        <x:v>Sparkling</x:v>
      </x:c>
      <x:c r="D718" t="str">
        <x:v>Hospitality</x:v>
      </x:c>
      <x:c r="E718" t="str">
        <x:v>QLD</x:v>
      </x:c>
      <x:c r="F718" s="11" t="n">
        <x:v>37699.65</x:v>
      </x:c>
      <x:c r="G718" s="13" t="n">
        <x:v>11955</x:v>
      </x:c>
      <x:c r="H718" s="11" t="n">
        <x:v>16184.89</x:v>
      </x:c>
      <x:c r="I718" s="11" t="n">
        <x:v>36342.98</x:v>
      </x:c>
    </x:row>
    <x:row r="719">
      <x:c r="A719" t="n">
        <x:v>2023</x:v>
      </x:c>
      <x:c r="B719" t="str">
        <x:v>2023-10</x:v>
      </x:c>
      <x:c r="C719" t="str">
        <x:v>Sparkling</x:v>
      </x:c>
      <x:c r="D719" t="str">
        <x:v>Hospitality</x:v>
      </x:c>
      <x:c r="E719" t="str">
        <x:v>VIC</x:v>
      </x:c>
      <x:c r="F719" s="11" t="n">
        <x:v>36811.23</x:v>
      </x:c>
      <x:c r="G719" s="13" t="n">
        <x:v>11681</x:v>
      </x:c>
      <x:c r="H719" s="11" t="n">
        <x:v>15777.17</x:v>
      </x:c>
      <x:c r="I719" s="11" t="n">
        <x:v>35262.26</x:v>
      </x:c>
    </x:row>
    <x:row r="720">
      <x:c r="A720" t="n">
        <x:v>2023</x:v>
      </x:c>
      <x:c r="B720" t="str">
        <x:v>2023-10</x:v>
      </x:c>
      <x:c r="C720" t="str">
        <x:v>Sparkling</x:v>
      </x:c>
      <x:c r="D720" t="str">
        <x:v>Independent retail</x:v>
      </x:c>
      <x:c r="E720" t="str">
        <x:v>NSW</x:v>
      </x:c>
      <x:c r="F720" s="11" t="n">
        <x:v>107294</x:v>
      </x:c>
      <x:c r="G720" s="13" t="n">
        <x:v>30186</x:v>
      </x:c>
      <x:c r="H720" s="11" t="n">
        <x:v>52600.7</x:v>
      </x:c>
      <x:c r="I720" s="11" t="n">
        <x:v>102785.81</x:v>
      </x:c>
    </x:row>
    <x:row r="721">
      <x:c r="A721" t="n">
        <x:v>2023</x:v>
      </x:c>
      <x:c r="B721" t="str">
        <x:v>2023-10</x:v>
      </x:c>
      <x:c r="C721" t="str">
        <x:v>Sparkling</x:v>
      </x:c>
      <x:c r="D721" t="str">
        <x:v>Independent retail</x:v>
      </x:c>
      <x:c r="E721" t="str">
        <x:v>QLD</x:v>
      </x:c>
      <x:c r="F721" s="11" t="n">
        <x:v>101136.37</x:v>
      </x:c>
      <x:c r="G721" s="13" t="n">
        <x:v>28474</x:v>
      </x:c>
      <x:c r="H721" s="11" t="n">
        <x:v>50524.11</x:v>
      </x:c>
      <x:c r="I721" s="11" t="n">
        <x:v>98813.1</x:v>
      </x:c>
    </x:row>
    <x:row r="722">
      <x:c r="A722" t="n">
        <x:v>2023</x:v>
      </x:c>
      <x:c r="B722" t="str">
        <x:v>2023-10</x:v>
      </x:c>
      <x:c r="C722" t="str">
        <x:v>Sparkling</x:v>
      </x:c>
      <x:c r="D722" t="str">
        <x:v>Independent retail</x:v>
      </x:c>
      <x:c r="E722" t="str">
        <x:v>VIC</x:v>
      </x:c>
      <x:c r="F722" s="11" t="n">
        <x:v>98757.8</x:v>
      </x:c>
      <x:c r="G722" s="13" t="n">
        <x:v>27990</x:v>
      </x:c>
      <x:c r="H722" s="11" t="n">
        <x:v>48733.94</x:v>
      </x:c>
      <x:c r="I722" s="11" t="n">
        <x:v>95861.15</x:v>
      </x:c>
    </x:row>
    <x:row r="723">
      <x:c r="A723" t="n">
        <x:v>2023</x:v>
      </x:c>
      <x:c r="B723" t="str">
        <x:v>2023-10</x:v>
      </x:c>
      <x:c r="C723" t="str">
        <x:v>Sparkling</x:v>
      </x:c>
      <x:c r="D723" t="str">
        <x:v>Petrol</x:v>
      </x:c>
      <x:c r="E723" t="str">
        <x:v>NSW</x:v>
      </x:c>
      <x:c r="F723" s="11" t="n">
        <x:v>113610.7</x:v>
      </x:c>
      <x:c r="G723" s="13" t="n">
        <x:v>29372</x:v>
      </x:c>
      <x:c r="H723" s="11" t="n">
        <x:v>61500.66</x:v>
      </x:c>
      <x:c r="I723" s="11" t="n">
        <x:v>110870.34</x:v>
      </x:c>
    </x:row>
    <x:row r="724">
      <x:c r="A724" t="n">
        <x:v>2023</x:v>
      </x:c>
      <x:c r="B724" t="str">
        <x:v>2023-10</x:v>
      </x:c>
      <x:c r="C724" t="str">
        <x:v>Sparkling</x:v>
      </x:c>
      <x:c r="D724" t="str">
        <x:v>Petrol</x:v>
      </x:c>
      <x:c r="E724" t="str">
        <x:v>QLD</x:v>
      </x:c>
      <x:c r="F724" s="11" t="n">
        <x:v>109505.1</x:v>
      </x:c>
      <x:c r="G724" s="13" t="n">
        <x:v>27913</x:v>
      </x:c>
      <x:c r="H724" s="11" t="n">
        <x:v>59645.12</x:v>
      </x:c>
      <x:c r="I724" s="11" t="n">
        <x:v>106619.74</x:v>
      </x:c>
    </x:row>
    <x:row r="725">
      <x:c r="A725" t="n">
        <x:v>2023</x:v>
      </x:c>
      <x:c r="B725" t="str">
        <x:v>2023-10</x:v>
      </x:c>
      <x:c r="C725" t="str">
        <x:v>Sparkling</x:v>
      </x:c>
      <x:c r="D725" t="str">
        <x:v>Petrol</x:v>
      </x:c>
      <x:c r="E725" t="str">
        <x:v>VIC</x:v>
      </x:c>
      <x:c r="F725" s="11" t="n">
        <x:v>105792.95</x:v>
      </x:c>
      <x:c r="G725" s="13" t="n">
        <x:v>27171</x:v>
      </x:c>
      <x:c r="H725" s="11" t="n">
        <x:v>57575.03</x:v>
      </x:c>
      <x:c r="I725" s="11" t="n">
        <x:v>103406.26</x:v>
      </x:c>
    </x:row>
    <x:row r="726">
      <x:c r="A726" t="n">
        <x:v>2023</x:v>
      </x:c>
      <x:c r="B726" t="str">
        <x:v>2023-10</x:v>
      </x:c>
      <x:c r="C726" t="str">
        <x:v>Sports</x:v>
      </x:c>
      <x:c r="D726" t="str">
        <x:v>Convenience</x:v>
      </x:c>
      <x:c r="E726" t="str">
        <x:v>NSW</x:v>
      </x:c>
      <x:c r="F726" s="11" t="n">
        <x:v>69561.8</x:v>
      </x:c>
      <x:c r="G726" s="13" t="n">
        <x:v>14551</x:v>
      </x:c>
      <x:c r="H726" s="11" t="n">
        <x:v>36434.67</x:v>
      </x:c>
      <x:c r="I726" s="11" t="n">
        <x:v>67141.22</x:v>
      </x:c>
    </x:row>
    <x:row r="727">
      <x:c r="A727" t="n">
        <x:v>2023</x:v>
      </x:c>
      <x:c r="B727" t="str">
        <x:v>2023-10</x:v>
      </x:c>
      <x:c r="C727" t="str">
        <x:v>Sports</x:v>
      </x:c>
      <x:c r="D727" t="str">
        <x:v>Convenience</x:v>
      </x:c>
      <x:c r="E727" t="str">
        <x:v>QLD</x:v>
      </x:c>
      <x:c r="F727" s="11" t="n">
        <x:v>67849.24</x:v>
      </x:c>
      <x:c r="G727" s="13" t="n">
        <x:v>14104</x:v>
      </x:c>
      <x:c r="H727" s="11" t="n">
        <x:v>35849.07</x:v>
      </x:c>
      <x:c r="I727" s="11" t="n">
        <x:v>64575.39</x:v>
      </x:c>
    </x:row>
    <x:row r="728">
      <x:c r="A728" t="n">
        <x:v>2023</x:v>
      </x:c>
      <x:c r="B728" t="str">
        <x:v>2023-10</x:v>
      </x:c>
      <x:c r="C728" t="str">
        <x:v>Sports</x:v>
      </x:c>
      <x:c r="D728" t="str">
        <x:v>Convenience</x:v>
      </x:c>
      <x:c r="E728" t="str">
        <x:v>VIC</x:v>
      </x:c>
      <x:c r="F728" s="11" t="n">
        <x:v>65385.38</x:v>
      </x:c>
      <x:c r="G728" s="13" t="n">
        <x:v>13907</x:v>
      </x:c>
      <x:c r="H728" s="11" t="n">
        <x:v>33999.93</x:v>
      </x:c>
      <x:c r="I728" s="11" t="n">
        <x:v>62639.02</x:v>
      </x:c>
    </x:row>
    <x:row r="729">
      <x:c r="A729" t="n">
        <x:v>2023</x:v>
      </x:c>
      <x:c r="B729" t="str">
        <x:v>2023-10</x:v>
      </x:c>
      <x:c r="C729" t="str">
        <x:v>Sports</x:v>
      </x:c>
      <x:c r="D729" t="str">
        <x:v>Grocery</x:v>
      </x:c>
      <x:c r="E729" t="str">
        <x:v>NSW</x:v>
      </x:c>
      <x:c r="F729" s="11" t="n">
        <x:v>171314.76</x:v>
      </x:c>
      <x:c r="G729" s="13" t="n">
        <x:v>38823</x:v>
      </x:c>
      <x:c r="H729" s="11" t="n">
        <x:v>81925.99</x:v>
      </x:c>
      <x:c r="I729" s="11" t="n">
        <x:v>166646.72</x:v>
      </x:c>
    </x:row>
    <x:row r="730">
      <x:c r="A730" t="n">
        <x:v>2023</x:v>
      </x:c>
      <x:c r="B730" t="str">
        <x:v>2023-10</x:v>
      </x:c>
      <x:c r="C730" t="str">
        <x:v>Sports</x:v>
      </x:c>
      <x:c r="D730" t="str">
        <x:v>Grocery</x:v>
      </x:c>
      <x:c r="E730" t="str">
        <x:v>QLD</x:v>
      </x:c>
      <x:c r="F730" s="11" t="n">
        <x:v>169207.97</x:v>
      </x:c>
      <x:c r="G730" s="13" t="n">
        <x:v>39721</x:v>
      </x:c>
      <x:c r="H730" s="11" t="n">
        <x:v>77050.84</x:v>
      </x:c>
      <x:c r="I730" s="11" t="n">
        <x:v>160252.35</x:v>
      </x:c>
    </x:row>
    <x:row r="731">
      <x:c r="A731" t="n">
        <x:v>2023</x:v>
      </x:c>
      <x:c r="B731" t="str">
        <x:v>2023-10</x:v>
      </x:c>
      <x:c r="C731" t="str">
        <x:v>Sports</x:v>
      </x:c>
      <x:c r="D731" t="str">
        <x:v>Grocery</x:v>
      </x:c>
      <x:c r="E731" t="str">
        <x:v>VIC</x:v>
      </x:c>
      <x:c r="F731" s="11" t="n">
        <x:v>161799.49</x:v>
      </x:c>
      <x:c r="G731" s="13" t="n">
        <x:v>37171</x:v>
      </x:c>
      <x:c r="H731" s="11" t="n">
        <x:v>75858.27</x:v>
      </x:c>
      <x:c r="I731" s="11" t="n">
        <x:v>155462.44</x:v>
      </x:c>
    </x:row>
    <x:row r="732">
      <x:c r="A732" t="n">
        <x:v>2023</x:v>
      </x:c>
      <x:c r="B732" t="str">
        <x:v>2023-10</x:v>
      </x:c>
      <x:c r="C732" t="str">
        <x:v>Sports</x:v>
      </x:c>
      <x:c r="D732" t="str">
        <x:v>Hospitality</x:v>
      </x:c>
      <x:c r="E732" t="str">
        <x:v>NSW</x:v>
      </x:c>
      <x:c r="F732" s="11" t="n">
        <x:v>21716.39</x:v>
      </x:c>
      <x:c r="G732" s="13" t="n">
        <x:v>5402</x:v>
      </x:c>
      <x:c r="H732" s="11" t="n">
        <x:v>9161.68</x:v>
      </x:c>
      <x:c r="I732" s="11" t="n">
        <x:v>20864.18</x:v>
      </x:c>
    </x:row>
    <x:row r="733">
      <x:c r="A733" t="n">
        <x:v>2023</x:v>
      </x:c>
      <x:c r="B733" t="str">
        <x:v>2023-10</x:v>
      </x:c>
      <x:c r="C733" t="str">
        <x:v>Sports</x:v>
      </x:c>
      <x:c r="D733" t="str">
        <x:v>Hospitality</x:v>
      </x:c>
      <x:c r="E733" t="str">
        <x:v>QLD</x:v>
      </x:c>
      <x:c r="F733" s="11" t="n">
        <x:v>20634.49</x:v>
      </x:c>
      <x:c r="G733" s="13" t="n">
        <x:v>5399</x:v>
      </x:c>
      <x:c r="H733" s="11" t="n">
        <x:v>8268.93</x:v>
      </x:c>
      <x:c r="I733" s="11" t="n">
        <x:v>20055.420000000002</x:v>
      </x:c>
    </x:row>
    <x:row r="734">
      <x:c r="A734" t="n">
        <x:v>2023</x:v>
      </x:c>
      <x:c r="B734" t="str">
        <x:v>2023-10</x:v>
      </x:c>
      <x:c r="C734" t="str">
        <x:v>Sports</x:v>
      </x:c>
      <x:c r="D734" t="str">
        <x:v>Hospitality</x:v>
      </x:c>
      <x:c r="E734" t="str">
        <x:v>VIC</x:v>
      </x:c>
      <x:c r="F734" s="11" t="n">
        <x:v>21193.14</x:v>
      </x:c>
      <x:c r="G734" s="13" t="n">
        <x:v>5468</x:v>
      </x:c>
      <x:c r="H734" s="11" t="n">
        <x:v>8640.86</x:v>
      </x:c>
      <x:c r="I734" s="11" t="n">
        <x:v>19456.01</x:v>
      </x:c>
    </x:row>
    <x:row r="735">
      <x:c r="A735" t="n">
        <x:v>2023</x:v>
      </x:c>
      <x:c r="B735" t="str">
        <x:v>2023-10</x:v>
      </x:c>
      <x:c r="C735" t="str">
        <x:v>Sports</x:v>
      </x:c>
      <x:c r="D735" t="str">
        <x:v>Independent retail</x:v>
      </x:c>
      <x:c r="E735" t="str">
        <x:v>NSW</x:v>
      </x:c>
      <x:c r="F735" s="11" t="n">
        <x:v>57857.77</x:v>
      </x:c>
      <x:c r="G735" s="13" t="n">
        <x:v>13546</x:v>
      </x:c>
      <x:c r="H735" s="11" t="n">
        <x:v>26822.08</x:v>
      </x:c>
      <x:c r="I735" s="11" t="n">
        <x:v>56638.6</x:v>
      </x:c>
    </x:row>
    <x:row r="736">
      <x:c r="A736" t="n">
        <x:v>2023</x:v>
      </x:c>
      <x:c r="B736" t="str">
        <x:v>2023-10</x:v>
      </x:c>
      <x:c r="C736" t="str">
        <x:v>Sports</x:v>
      </x:c>
      <x:c r="D736" t="str">
        <x:v>Independent retail</x:v>
      </x:c>
      <x:c r="E736" t="str">
        <x:v>QLD</x:v>
      </x:c>
      <x:c r="F736" s="11" t="n">
        <x:v>56068.31</x:v>
      </x:c>
      <x:c r="G736" s="13" t="n">
        <x:v>12782</x:v>
      </x:c>
      <x:c r="H736" s="11" t="n">
        <x:v>27113.37</x:v>
      </x:c>
      <x:c r="I736" s="11" t="n">
        <x:v>54468.37</x:v>
      </x:c>
    </x:row>
    <x:row r="737">
      <x:c r="A737" t="n">
        <x:v>2023</x:v>
      </x:c>
      <x:c r="B737" t="str">
        <x:v>2023-10</x:v>
      </x:c>
      <x:c r="C737" t="str">
        <x:v>Sports</x:v>
      </x:c>
      <x:c r="D737" t="str">
        <x:v>Independent retail</x:v>
      </x:c>
      <x:c r="E737" t="str">
        <x:v>VIC</x:v>
      </x:c>
      <x:c r="F737" s="11" t="n">
        <x:v>55979.47</x:v>
      </x:c>
      <x:c r="G737" s="13" t="n">
        <x:v>13169</x:v>
      </x:c>
      <x:c r="H737" s="11" t="n">
        <x:v>26245</x:v>
      </x:c>
      <x:c r="I737" s="11" t="n">
        <x:v>52841.87</x:v>
      </x:c>
    </x:row>
    <x:row r="738">
      <x:c r="A738" t="n">
        <x:v>2023</x:v>
      </x:c>
      <x:c r="B738" t="str">
        <x:v>2023-10</x:v>
      </x:c>
      <x:c r="C738" t="str">
        <x:v>Sports</x:v>
      </x:c>
      <x:c r="D738" t="str">
        <x:v>Petrol</x:v>
      </x:c>
      <x:c r="E738" t="str">
        <x:v>NSW</x:v>
      </x:c>
      <x:c r="F738" s="11" t="n">
        <x:v>62849.15</x:v>
      </x:c>
      <x:c r="G738" s="13" t="n">
        <x:v>13174</x:v>
      </x:c>
      <x:c r="H738" s="11" t="n">
        <x:v>32970.76</x:v>
      </x:c>
      <x:c r="I738" s="11" t="n">
        <x:v>61375.35</x:v>
      </x:c>
    </x:row>
    <x:row r="739">
      <x:c r="A739" t="n">
        <x:v>2023</x:v>
      </x:c>
      <x:c r="B739" t="str">
        <x:v>2023-10</x:v>
      </x:c>
      <x:c r="C739" t="str">
        <x:v>Sports</x:v>
      </x:c>
      <x:c r="D739" t="str">
        <x:v>Petrol</x:v>
      </x:c>
      <x:c r="E739" t="str">
        <x:v>QLD</x:v>
      </x:c>
      <x:c r="F739" s="11" t="n">
        <x:v>60461.58</x:v>
      </x:c>
      <x:c r="G739" s="13" t="n">
        <x:v>12241</x:v>
      </x:c>
      <x:c r="H739" s="11" t="n">
        <x:v>32268.42</x:v>
      </x:c>
      <x:c r="I739" s="11" t="n">
        <x:v>59021.46</x:v>
      </x:c>
    </x:row>
    <x:row r="740">
      <x:c r="A740" t="n">
        <x:v>2023</x:v>
      </x:c>
      <x:c r="B740" t="str">
        <x:v>2023-10</x:v>
      </x:c>
      <x:c r="C740" t="str">
        <x:v>Sports</x:v>
      </x:c>
      <x:c r="D740" t="str">
        <x:v>Petrol</x:v>
      </x:c>
      <x:c r="E740" t="str">
        <x:v>VIC</x:v>
      </x:c>
      <x:c r="F740" s="11" t="n">
        <x:v>58462.95</x:v>
      </x:c>
      <x:c r="G740" s="13" t="n">
        <x:v>11881</x:v>
      </x:c>
      <x:c r="H740" s="11" t="n">
        <x:v>31218.45</x:v>
      </x:c>
      <x:c r="I740" s="11" t="n">
        <x:v>57249.12</x:v>
      </x:c>
    </x:row>
    <x:row r="741">
      <x:c r="A741" t="n">
        <x:v>2023</x:v>
      </x:c>
      <x:c r="B741" t="str">
        <x:v>2023-10</x:v>
      </x:c>
      <x:c r="C741" t="str">
        <x:v>Water</x:v>
      </x:c>
      <x:c r="D741" t="str">
        <x:v>Convenience</x:v>
      </x:c>
      <x:c r="E741" t="str">
        <x:v>NSW</x:v>
      </x:c>
      <x:c r="F741" s="11" t="n">
        <x:v>81388.87</x:v>
      </x:c>
      <x:c r="G741" s="13" t="n">
        <x:v>25753</x:v>
      </x:c>
      <x:c r="H741" s="11" t="n">
        <x:v>41062.39</x:v>
      </x:c>
      <x:c r="I741" s="11" t="n">
        <x:v>79959.68000000001</x:v>
      </x:c>
    </x:row>
    <x:row r="742">
      <x:c r="A742" t="n">
        <x:v>2023</x:v>
      </x:c>
      <x:c r="B742" t="str">
        <x:v>2023-10</x:v>
      </x:c>
      <x:c r="C742" t="str">
        <x:v>Water</x:v>
      </x:c>
      <x:c r="D742" t="str">
        <x:v>Convenience</x:v>
      </x:c>
      <x:c r="E742" t="str">
        <x:v>QLD</x:v>
      </x:c>
      <x:c r="F742" s="11" t="n">
        <x:v>78966.74</x:v>
      </x:c>
      <x:c r="G742" s="13" t="n">
        <x:v>24907</x:v>
      </x:c>
      <x:c r="H742" s="11" t="n">
        <x:v>39472.02</x:v>
      </x:c>
      <x:c r="I742" s="11" t="n">
        <x:v>76882.49</x:v>
      </x:c>
    </x:row>
    <x:row r="743">
      <x:c r="A743" t="n">
        <x:v>2023</x:v>
      </x:c>
      <x:c r="B743" t="str">
        <x:v>2023-10</x:v>
      </x:c>
      <x:c r="C743" t="str">
        <x:v>Water</x:v>
      </x:c>
      <x:c r="D743" t="str">
        <x:v>Convenience</x:v>
      </x:c>
      <x:c r="E743" t="str">
        <x:v>VIC</x:v>
      </x:c>
      <x:c r="F743" s="11" t="n">
        <x:v>75982.78</x:v>
      </x:c>
      <x:c r="G743" s="13" t="n">
        <x:v>23588</x:v>
      </x:c>
      <x:c r="H743" s="11" t="n">
        <x:v>38500.7</x:v>
      </x:c>
      <x:c r="I743" s="11" t="n">
        <x:v>74567.75</x:v>
      </x:c>
    </x:row>
    <x:row r="744">
      <x:c r="A744" t="n">
        <x:v>2023</x:v>
      </x:c>
      <x:c r="B744" t="str">
        <x:v>2023-10</x:v>
      </x:c>
      <x:c r="C744" t="str">
        <x:v>Water</x:v>
      </x:c>
      <x:c r="D744" t="str">
        <x:v>Grocery</x:v>
      </x:c>
      <x:c r="E744" t="str">
        <x:v>NSW</x:v>
      </x:c>
      <x:c r="F744" s="11" t="n">
        <x:v>200914.86</x:v>
      </x:c>
      <x:c r="G744" s="13" t="n">
        <x:v>77939</x:v>
      </x:c>
      <x:c r="H744" s="11" t="n">
        <x:v>79235.82</x:v>
      </x:c>
      <x:c r="I744" s="11" t="n">
        <x:v>199528.71</x:v>
      </x:c>
    </x:row>
    <x:row r="745">
      <x:c r="A745" t="n">
        <x:v>2023</x:v>
      </x:c>
      <x:c r="B745" t="str">
        <x:v>2023-10</x:v>
      </x:c>
      <x:c r="C745" t="str">
        <x:v>Water</x:v>
      </x:c>
      <x:c r="D745" t="str">
        <x:v>Grocery</x:v>
      </x:c>
      <x:c r="E745" t="str">
        <x:v>QLD</x:v>
      </x:c>
      <x:c r="F745" s="11" t="n">
        <x:v>200389.59</x:v>
      </x:c>
      <x:c r="G745" s="13" t="n">
        <x:v>74682</x:v>
      </x:c>
      <x:c r="H745" s="11" t="n">
        <x:v>83272.06999999999</x:v>
      </x:c>
      <x:c r="I745" s="11" t="n">
        <x:v>191844.52</x:v>
      </x:c>
    </x:row>
    <x:row r="746">
      <x:c r="A746" t="n">
        <x:v>2023</x:v>
      </x:c>
      <x:c r="B746" t="str">
        <x:v>2023-10</x:v>
      </x:c>
      <x:c r="C746" t="str">
        <x:v>Water</x:v>
      </x:c>
      <x:c r="D746" t="str">
        <x:v>Grocery</x:v>
      </x:c>
      <x:c r="E746" t="str">
        <x:v>VIC</x:v>
      </x:c>
      <x:c r="F746" s="11" t="n">
        <x:v>187990.11</x:v>
      </x:c>
      <x:c r="G746" s="13" t="n">
        <x:v>72333</x:v>
      </x:c>
      <x:c r="H746" s="11" t="n">
        <x:v>75507.07</x:v>
      </x:c>
      <x:c r="I746" s="11" t="n">
        <x:v>186093.93</x:v>
      </x:c>
    </x:row>
    <x:row r="747">
      <x:c r="A747" t="n">
        <x:v>2023</x:v>
      </x:c>
      <x:c r="B747" t="str">
        <x:v>2023-10</x:v>
      </x:c>
      <x:c r="C747" t="str">
        <x:v>Water</x:v>
      </x:c>
      <x:c r="D747" t="str">
        <x:v>Hospitality</x:v>
      </x:c>
      <x:c r="E747" t="str">
        <x:v>NSW</x:v>
      </x:c>
      <x:c r="F747" s="11" t="n">
        <x:v>25767.93</x:v>
      </x:c>
      <x:c r="G747" s="13" t="n">
        <x:v>10666</x:v>
      </x:c>
      <x:c r="H747" s="11" t="n">
        <x:v>9058.61</x:v>
      </x:c>
      <x:c r="I747" s="11" t="n">
        <x:v>24943.239999999998</x:v>
      </x:c>
    </x:row>
    <x:row r="748">
      <x:c r="A748" t="n">
        <x:v>2023</x:v>
      </x:c>
      <x:c r="B748" t="str">
        <x:v>2023-10</x:v>
      </x:c>
      <x:c r="C748" t="str">
        <x:v>Water</x:v>
      </x:c>
      <x:c r="D748" t="str">
        <x:v>Hospitality</x:v>
      </x:c>
      <x:c r="E748" t="str">
        <x:v>QLD</x:v>
      </x:c>
      <x:c r="F748" s="11" t="n">
        <x:v>25404.06</x:v>
      </x:c>
      <x:c r="G748" s="13" t="n">
        <x:v>10143</x:v>
      </x:c>
      <x:c r="H748" s="11" t="n">
        <x:v>9559.34</x:v>
      </x:c>
      <x:c r="I748" s="11" t="n">
        <x:v>23984.11</x:v>
      </x:c>
    </x:row>
    <x:row r="749">
      <x:c r="A749" t="n">
        <x:v>2023</x:v>
      </x:c>
      <x:c r="B749" t="str">
        <x:v>2023-10</x:v>
      </x:c>
      <x:c r="C749" t="str">
        <x:v>Water</x:v>
      </x:c>
      <x:c r="D749" t="str">
        <x:v>Hospitality</x:v>
      </x:c>
      <x:c r="E749" t="str">
        <x:v>VIC</x:v>
      </x:c>
      <x:c r="F749" s="11" t="n">
        <x:v>23893.47</x:v>
      </x:c>
      <x:c r="G749" s="13" t="n">
        <x:v>9798</x:v>
      </x:c>
      <x:c r="H749" s="11" t="n">
        <x:v>8735.71</x:v>
      </x:c>
      <x:c r="I749" s="11" t="n">
        <x:v>23273.96</x:v>
      </x:c>
    </x:row>
    <x:row r="750">
      <x:c r="A750" t="n">
        <x:v>2023</x:v>
      </x:c>
      <x:c r="B750" t="str">
        <x:v>2023-10</x:v>
      </x:c>
      <x:c r="C750" t="str">
        <x:v>Water</x:v>
      </x:c>
      <x:c r="D750" t="str">
        <x:v>Independent retail</x:v>
      </x:c>
      <x:c r="E750" t="str">
        <x:v>NSW</x:v>
      </x:c>
      <x:c r="F750" s="11" t="n">
        <x:v>70521.15</x:v>
      </x:c>
      <x:c r="G750" s="13" t="n">
        <x:v>24578</x:v>
      </x:c>
      <x:c r="H750" s="11" t="n">
        <x:v>31388.95</x:v>
      </x:c>
      <x:c r="I750" s="11" t="n">
        <x:v>67837.45</x:v>
      </x:c>
    </x:row>
    <x:row r="751">
      <x:c r="A751" t="n">
        <x:v>2023</x:v>
      </x:c>
      <x:c r="B751" t="str">
        <x:v>2023-10</x:v>
      </x:c>
      <x:c r="C751" t="str">
        <x:v>Water</x:v>
      </x:c>
      <x:c r="D751" t="str">
        <x:v>Independent retail</x:v>
      </x:c>
      <x:c r="E751" t="str">
        <x:v>QLD</x:v>
      </x:c>
      <x:c r="F751" s="11" t="n">
        <x:v>67012.33</x:v>
      </x:c>
      <x:c r="G751" s="13" t="n">
        <x:v>24260</x:v>
      </x:c>
      <x:c r="H751" s="11" t="n">
        <x:v>28394.25</x:v>
      </x:c>
      <x:c r="I751" s="11" t="n">
        <x:v>65221.82</x:v>
      </x:c>
    </x:row>
    <x:row r="752">
      <x:c r="A752" t="n">
        <x:v>2023</x:v>
      </x:c>
      <x:c r="B752" t="str">
        <x:v>2023-10</x:v>
      </x:c>
      <x:c r="C752" t="str">
        <x:v>Water</x:v>
      </x:c>
      <x:c r="D752" t="str">
        <x:v>Independent retail</x:v>
      </x:c>
      <x:c r="E752" t="str">
        <x:v>VIC</x:v>
      </x:c>
      <x:c r="F752" s="11" t="n">
        <x:v>65754.59</x:v>
      </x:c>
      <x:c r="G752" s="13" t="n">
        <x:v>23408</x:v>
      </x:c>
      <x:c r="H752" s="11" t="n">
        <x:v>28699.55</x:v>
      </x:c>
      <x:c r="I752" s="11" t="n">
        <x:v>63261.48</x:v>
      </x:c>
    </x:row>
    <x:row r="753">
      <x:c r="A753" t="n">
        <x:v>2023</x:v>
      </x:c>
      <x:c r="B753" t="str">
        <x:v>2023-10</x:v>
      </x:c>
      <x:c r="C753" t="str">
        <x:v>Water</x:v>
      </x:c>
      <x:c r="D753" t="str">
        <x:v>Petrol</x:v>
      </x:c>
      <x:c r="E753" t="str">
        <x:v>NSW</x:v>
      </x:c>
      <x:c r="F753" s="11" t="n">
        <x:v>74919.6</x:v>
      </x:c>
      <x:c r="G753" s="13" t="n">
        <x:v>25113</x:v>
      </x:c>
      <x:c r="H753" s="11" t="n">
        <x:v>35221.76</x:v>
      </x:c>
      <x:c r="I753" s="11" t="n">
        <x:v>73031.92</x:v>
      </x:c>
    </x:row>
    <x:row r="754">
      <x:c r="A754" t="n">
        <x:v>2023</x:v>
      </x:c>
      <x:c r="B754" t="str">
        <x:v>2023-10</x:v>
      </x:c>
      <x:c r="C754" t="str">
        <x:v>Water</x:v>
      </x:c>
      <x:c r="D754" t="str">
        <x:v>Petrol</x:v>
      </x:c>
      <x:c r="E754" t="str">
        <x:v>QLD</x:v>
      </x:c>
      <x:c r="F754" s="11" t="n">
        <x:v>71371.72</x:v>
      </x:c>
      <x:c r="G754" s="13" t="n">
        <x:v>24430</x:v>
      </x:c>
      <x:c r="H754" s="11" t="n">
        <x:v>32973.48</x:v>
      </x:c>
      <x:c r="I754" s="11" t="n">
        <x:v>70230.84</x:v>
      </x:c>
    </x:row>
    <x:row r="755">
      <x:c r="A755" t="n">
        <x:v>2023</x:v>
      </x:c>
      <x:c r="B755" t="str">
        <x:v>2023-10</x:v>
      </x:c>
      <x:c r="C755" t="str">
        <x:v>Water</x:v>
      </x:c>
      <x:c r="D755" t="str">
        <x:v>Petrol</x:v>
      </x:c>
      <x:c r="E755" t="str">
        <x:v>VIC</x:v>
      </x:c>
      <x:c r="F755" s="11" t="n">
        <x:v>70720.2</x:v>
      </x:c>
      <x:c r="G755" s="13" t="n">
        <x:v>24062</x:v>
      </x:c>
      <x:c r="H755" s="11" t="n">
        <x:v>32659.8</x:v>
      </x:c>
      <x:c r="I755" s="11" t="n">
        <x:v>68127.09</x:v>
      </x:c>
    </x:row>
    <x:row r="756">
      <x:c r="A756" t="n">
        <x:v>2023</x:v>
      </x:c>
      <x:c r="B756" t="str">
        <x:v>2023-11</x:v>
      </x:c>
      <x:c r="C756" t="str">
        <x:v>Coffee</x:v>
      </x:c>
      <x:c r="D756" t="str">
        <x:v>Convenience</x:v>
      </x:c>
      <x:c r="E756" t="str">
        <x:v>NSW</x:v>
      </x:c>
      <x:c r="F756" s="11" t="n">
        <x:v>28852</x:v>
      </x:c>
      <x:c r="G756" s="13" t="n">
        <x:v>5852</x:v>
      </x:c>
      <x:c r="H756" s="11" t="n">
        <x:v>12091.13</x:v>
      </x:c>
      <x:c r="I756" s="11" t="n">
        <x:v>28429.81</x:v>
      </x:c>
    </x:row>
    <x:row r="757">
      <x:c r="A757" t="n">
        <x:v>2023</x:v>
      </x:c>
      <x:c r="B757" t="str">
        <x:v>2023-11</x:v>
      </x:c>
      <x:c r="C757" t="str">
        <x:v>Coffee</x:v>
      </x:c>
      <x:c r="D757" t="str">
        <x:v>Convenience</x:v>
      </x:c>
      <x:c r="E757" t="str">
        <x:v>QLD</x:v>
      </x:c>
      <x:c r="F757" s="11" t="n">
        <x:v>27028.73</x:v>
      </x:c>
      <x:c r="G757" s="13" t="n">
        <x:v>5442</x:v>
      </x:c>
      <x:c r="H757" s="11" t="n">
        <x:v>11449.01</x:v>
      </x:c>
      <x:c r="I757" s="11" t="n">
        <x:v>27346.65</x:v>
      </x:c>
    </x:row>
    <x:row r="758">
      <x:c r="A758" t="n">
        <x:v>2023</x:v>
      </x:c>
      <x:c r="B758" t="str">
        <x:v>2023-11</x:v>
      </x:c>
      <x:c r="C758" t="str">
        <x:v>Coffee</x:v>
      </x:c>
      <x:c r="D758" t="str">
        <x:v>Convenience</x:v>
      </x:c>
      <x:c r="E758" t="str">
        <x:v>VIC</x:v>
      </x:c>
      <x:c r="F758" s="11" t="n">
        <x:v>25930.09</x:v>
      </x:c>
      <x:c r="G758" s="13" t="n">
        <x:v>5307</x:v>
      </x:c>
      <x:c r="H758" s="11" t="n">
        <x:v>10779.34</x:v>
      </x:c>
      <x:c r="I758" s="11" t="n">
        <x:v>26525.39</x:v>
      </x:c>
    </x:row>
    <x:row r="759">
      <x:c r="A759" t="n">
        <x:v>2023</x:v>
      </x:c>
      <x:c r="B759" t="str">
        <x:v>2023-11</x:v>
      </x:c>
      <x:c r="C759" t="str">
        <x:v>Coffee</x:v>
      </x:c>
      <x:c r="D759" t="str">
        <x:v>Grocery</x:v>
      </x:c>
      <x:c r="E759" t="str">
        <x:v>NSW</x:v>
      </x:c>
      <x:c r="F759" s="11" t="n">
        <x:v>72270.88</x:v>
      </x:c>
      <x:c r="G759" s="13" t="n">
        <x:v>15972</x:v>
      </x:c>
      <x:c r="H759" s="11" t="n">
        <x:v>26549.52</x:v>
      </x:c>
      <x:c r="I759" s="11" t="n">
        <x:v>70578.76</x:v>
      </x:c>
    </x:row>
    <x:row r="760">
      <x:c r="A760" t="n">
        <x:v>2023</x:v>
      </x:c>
      <x:c r="B760" t="str">
        <x:v>2023-11</x:v>
      </x:c>
      <x:c r="C760" t="str">
        <x:v>Coffee</x:v>
      </x:c>
      <x:c r="D760" t="str">
        <x:v>Grocery</x:v>
      </x:c>
      <x:c r="E760" t="str">
        <x:v>QLD</x:v>
      </x:c>
      <x:c r="F760" s="11" t="n">
        <x:v>70003.37</x:v>
      </x:c>
      <x:c r="G760" s="13" t="n">
        <x:v>16155</x:v>
      </x:c>
      <x:c r="H760" s="11" t="n">
        <x:v>23408.94</x:v>
      </x:c>
      <x:c r="I760" s="11" t="n">
        <x:v>67856.04</x:v>
      </x:c>
    </x:row>
    <x:row r="761">
      <x:c r="A761" t="n">
        <x:v>2023</x:v>
      </x:c>
      <x:c r="B761" t="str">
        <x:v>2023-11</x:v>
      </x:c>
      <x:c r="C761" t="str">
        <x:v>Coffee</x:v>
      </x:c>
      <x:c r="D761" t="str">
        <x:v>Grocery</x:v>
      </x:c>
      <x:c r="E761" t="str">
        <x:v>VIC</x:v>
      </x:c>
      <x:c r="F761" s="11" t="n">
        <x:v>66819.72</x:v>
      </x:c>
      <x:c r="G761" s="13" t="n">
        <x:v>15060</x:v>
      </x:c>
      <x:c r="H761" s="11" t="n">
        <x:v>23529.66</x:v>
      </x:c>
      <x:c r="I761" s="11" t="n">
        <x:v>65837.55</x:v>
      </x:c>
    </x:row>
    <x:row r="762">
      <x:c r="A762" t="n">
        <x:v>2023</x:v>
      </x:c>
      <x:c r="B762" t="str">
        <x:v>2023-11</x:v>
      </x:c>
      <x:c r="C762" t="str">
        <x:v>Coffee</x:v>
      </x:c>
      <x:c r="D762" t="str">
        <x:v>Hospitality</x:v>
      </x:c>
      <x:c r="E762" t="str">
        <x:v>NSW</x:v>
      </x:c>
      <x:c r="F762" s="11" t="n">
        <x:v>8819.63</x:v>
      </x:c>
      <x:c r="G762" s="13" t="n">
        <x:v>2171</x:v>
      </x:c>
      <x:c r="H762" s="11" t="n">
        <x:v>2605.36</x:v>
      </x:c>
      <x:c r="I762" s="11" t="n">
        <x:v>8838.43</x:v>
      </x:c>
    </x:row>
    <x:row r="763">
      <x:c r="A763" t="n">
        <x:v>2023</x:v>
      </x:c>
      <x:c r="B763" t="str">
        <x:v>2023-11</x:v>
      </x:c>
      <x:c r="C763" t="str">
        <x:v>Coffee</x:v>
      </x:c>
      <x:c r="D763" t="str">
        <x:v>Hospitality</x:v>
      </x:c>
      <x:c r="E763" t="str">
        <x:v>QLD</x:v>
      </x:c>
      <x:c r="F763" s="11" t="n">
        <x:v>8654.4</x:v>
      </x:c>
      <x:c r="G763" s="13" t="n">
        <x:v>2226</x:v>
      </x:c>
      <x:c r="H763" s="11" t="n">
        <x:v>2314.2</x:v>
      </x:c>
      <x:c r="I763" s="11" t="n">
        <x:v>8518.94</x:v>
      </x:c>
    </x:row>
    <x:row r="764">
      <x:c r="A764" t="n">
        <x:v>2023</x:v>
      </x:c>
      <x:c r="B764" t="str">
        <x:v>2023-11</x:v>
      </x:c>
      <x:c r="C764" t="str">
        <x:v>Coffee</x:v>
      </x:c>
      <x:c r="D764" t="str">
        <x:v>Hospitality</x:v>
      </x:c>
      <x:c r="E764" t="str">
        <x:v>VIC</x:v>
      </x:c>
      <x:c r="F764" s="11" t="n">
        <x:v>8138.06</x:v>
      </x:c>
      <x:c r="G764" s="13" t="n">
        <x:v>2055</x:v>
      </x:c>
      <x:c r="H764" s="11" t="n">
        <x:v>2260.56</x:v>
      </x:c>
      <x:c r="I764" s="11" t="n">
        <x:v>8262.75</x:v>
      </x:c>
    </x:row>
    <x:row r="765">
      <x:c r="A765" t="n">
        <x:v>2023</x:v>
      </x:c>
      <x:c r="B765" t="str">
        <x:v>2023-11</x:v>
      </x:c>
      <x:c r="C765" t="str">
        <x:v>Coffee</x:v>
      </x:c>
      <x:c r="D765" t="str">
        <x:v>Independent retail</x:v>
      </x:c>
      <x:c r="E765" t="str">
        <x:v>NSW</x:v>
      </x:c>
      <x:c r="F765" s="11" t="n">
        <x:v>23512.74</x:v>
      </x:c>
      <x:c r="G765" s="13" t="n">
        <x:v>5424</x:v>
      </x:c>
      <x:c r="H765" s="11" t="n">
        <x:v>8082.01</x:v>
      </x:c>
      <x:c r="I765" s="11" t="n">
        <x:v>23987.98</x:v>
      </x:c>
    </x:row>
    <x:row r="766">
      <x:c r="A766" t="n">
        <x:v>2023</x:v>
      </x:c>
      <x:c r="B766" t="str">
        <x:v>2023-11</x:v>
      </x:c>
      <x:c r="C766" t="str">
        <x:v>Coffee</x:v>
      </x:c>
      <x:c r="D766" t="str">
        <x:v>Independent retail</x:v>
      </x:c>
      <x:c r="E766" t="str">
        <x:v>QLD</x:v>
      </x:c>
      <x:c r="F766" s="11" t="n">
        <x:v>23347.14</x:v>
      </x:c>
      <x:c r="G766" s="13" t="n">
        <x:v>5233</x:v>
      </x:c>
      <x:c r="H766" s="11" t="n">
        <x:v>8577.51</x:v>
      </x:c>
      <x:c r="I766" s="11" t="n">
        <x:v>23064.170000000002</x:v>
      </x:c>
    </x:row>
    <x:row r="767">
      <x:c r="A767" t="n">
        <x:v>2023</x:v>
      </x:c>
      <x:c r="B767" t="str">
        <x:v>2023-11</x:v>
      </x:c>
      <x:c r="C767" t="str">
        <x:v>Coffee</x:v>
      </x:c>
      <x:c r="D767" t="str">
        <x:v>Independent retail</x:v>
      </x:c>
      <x:c r="E767" t="str">
        <x:v>VIC</x:v>
      </x:c>
      <x:c r="F767" s="11" t="n">
        <x:v>22469.829999999998</x:v>
      </x:c>
      <x:c r="G767" s="13" t="n">
        <x:v>5094</x:v>
      </x:c>
      <x:c r="H767" s="11" t="n">
        <x:v>7920.5</x:v>
      </x:c>
      <x:c r="I767" s="11" t="n">
        <x:v>22376.44</x:v>
      </x:c>
    </x:row>
    <x:row r="768">
      <x:c r="A768" t="n">
        <x:v>2023</x:v>
      </x:c>
      <x:c r="B768" t="str">
        <x:v>2023-11</x:v>
      </x:c>
      <x:c r="C768" t="str">
        <x:v>Coffee</x:v>
      </x:c>
      <x:c r="D768" t="str">
        <x:v>Petrol</x:v>
      </x:c>
      <x:c r="E768" t="str">
        <x:v>NSW</x:v>
      </x:c>
      <x:c r="F768" s="11" t="n">
        <x:v>25424.89</x:v>
      </x:c>
      <x:c r="G768" s="13" t="n">
        <x:v>5188</x:v>
      </x:c>
      <x:c r="H768" s="11" t="n">
        <x:v>10669.44</x:v>
      </x:c>
      <x:c r="I768" s="11" t="n">
        <x:v>25846.49</x:v>
      </x:c>
    </x:row>
    <x:row r="769">
      <x:c r="A769" t="n">
        <x:v>2023</x:v>
      </x:c>
      <x:c r="B769" t="str">
        <x:v>2023-11</x:v>
      </x:c>
      <x:c r="C769" t="str">
        <x:v>Coffee</x:v>
      </x:c>
      <x:c r="D769" t="str">
        <x:v>Petrol</x:v>
      </x:c>
      <x:c r="E769" t="str">
        <x:v>QLD</x:v>
      </x:c>
      <x:c r="F769" s="11" t="n">
        <x:v>25223.3</x:v>
      </x:c>
      <x:c r="G769" s="13" t="n">
        <x:v>5029</x:v>
      </x:c>
      <x:c r="H769" s="11" t="n">
        <x:v>10960.54</x:v>
      </x:c>
      <x:c r="I769" s="11" t="n">
        <x:v>24854.44</x:v>
      </x:c>
    </x:row>
    <x:row r="770">
      <x:c r="A770" t="n">
        <x:v>2023</x:v>
      </x:c>
      <x:c r="B770" t="str">
        <x:v>2023-11</x:v>
      </x:c>
      <x:c r="C770" t="str">
        <x:v>Coffee</x:v>
      </x:c>
      <x:c r="D770" t="str">
        <x:v>Petrol</x:v>
      </x:c>
      <x:c r="E770" t="str">
        <x:v>VIC</x:v>
      </x:c>
      <x:c r="F770" s="11" t="n">
        <x:v>25068.78</x:v>
      </x:c>
      <x:c r="G770" s="13" t="n">
        <x:v>5025</x:v>
      </x:c>
      <x:c r="H770" s="11" t="n">
        <x:v>10791.5</x:v>
      </x:c>
      <x:c r="I770" s="11" t="n">
        <x:v>24111.29</x:v>
      </x:c>
    </x:row>
    <x:row r="771">
      <x:c r="A771" t="n">
        <x:v>2023</x:v>
      </x:c>
      <x:c r="B771" t="str">
        <x:v>2023-11</x:v>
      </x:c>
      <x:c r="C771" t="str">
        <x:v>Energy</x:v>
      </x:c>
      <x:c r="D771" t="str">
        <x:v>Convenience</x:v>
      </x:c>
      <x:c r="E771" t="str">
        <x:v>NSW</x:v>
      </x:c>
      <x:c r="F771" s="11" t="n">
        <x:v>70020.4</x:v>
      </x:c>
      <x:c r="G771" s="13" t="n">
        <x:v>13334</x:v>
      </x:c>
      <x:c r="H771" s="11" t="n">
        <x:v>42297.8</x:v>
      </x:c>
      <x:c r="I771" s="11" t="n">
        <x:v>104649.72</x:v>
      </x:c>
    </x:row>
    <x:row r="772">
      <x:c r="A772" t="n">
        <x:v>2023</x:v>
      </x:c>
      <x:c r="B772" t="str">
        <x:v>2023-11</x:v>
      </x:c>
      <x:c r="C772" t="str">
        <x:v>Energy</x:v>
      </x:c>
      <x:c r="D772" t="str">
        <x:v>Convenience</x:v>
      </x:c>
      <x:c r="E772" t="str">
        <x:v>QLD</x:v>
      </x:c>
      <x:c r="F772" s="11" t="n">
        <x:v>63961.83</x:v>
      </x:c>
      <x:c r="G772" s="13" t="n">
        <x:v>12002</x:v>
      </x:c>
      <x:c r="H772" s="11" t="n">
        <x:v>39031.03</x:v>
      </x:c>
      <x:c r="I772" s="11" t="n">
        <x:v>100638.42</x:v>
      </x:c>
    </x:row>
    <x:row r="773">
      <x:c r="A773" t="n">
        <x:v>2023</x:v>
      </x:c>
      <x:c r="B773" t="str">
        <x:v>2023-11</x:v>
      </x:c>
      <x:c r="C773" t="str">
        <x:v>Energy</x:v>
      </x:c>
      <x:c r="D773" t="str">
        <x:v>Convenience</x:v>
      </x:c>
      <x:c r="E773" t="str">
        <x:v>VIC</x:v>
      </x:c>
      <x:c r="F773" s="11" t="n">
        <x:v>64640.96</x:v>
      </x:c>
      <x:c r="G773" s="13" t="n">
        <x:v>12293</x:v>
      </x:c>
      <x:c r="H773" s="11" t="n">
        <x:v>39240.44</x:v>
      </x:c>
      <x:c r="I773" s="11" t="n">
        <x:v>97619.75</x:v>
      </x:c>
    </x:row>
    <x:row r="774">
      <x:c r="A774" t="n">
        <x:v>2023</x:v>
      </x:c>
      <x:c r="B774" t="str">
        <x:v>2023-11</x:v>
      </x:c>
      <x:c r="C774" t="str">
        <x:v>Energy</x:v>
      </x:c>
      <x:c r="D774" t="str">
        <x:v>Grocery</x:v>
      </x:c>
      <x:c r="E774" t="str">
        <x:v>NSW</x:v>
      </x:c>
      <x:c r="F774" s="11" t="n">
        <x:v>275720.4</x:v>
      </x:c>
      <x:c r="G774" s="13" t="n">
        <x:v>60276</x:v>
      </x:c>
      <x:c r="H774" s="11" t="n">
        <x:v>146993.12</x:v>
      </x:c>
      <x:c r="I774" s="11" t="n">
        <x:v>260636.74</x:v>
      </x:c>
    </x:row>
    <x:row r="775">
      <x:c r="A775" t="n">
        <x:v>2023</x:v>
      </x:c>
      <x:c r="B775" t="str">
        <x:v>2023-11</x:v>
      </x:c>
      <x:c r="C775" t="str">
        <x:v>Energy</x:v>
      </x:c>
      <x:c r="D775" t="str">
        <x:v>Grocery</x:v>
      </x:c>
      <x:c r="E775" t="str">
        <x:v>QLD</x:v>
      </x:c>
      <x:c r="F775" s="11" t="n">
        <x:v>263722.69</x:v>
      </x:c>
      <x:c r="G775" s="13" t="n">
        <x:v>57765</x:v>
      </x:c>
      <x:c r="H775" s="11" t="n">
        <x:v>140781.21</x:v>
      </x:c>
      <x:c r="I775" s="11" t="n">
        <x:v>250649.29</x:v>
      </x:c>
    </x:row>
    <x:row r="776">
      <x:c r="A776" t="n">
        <x:v>2023</x:v>
      </x:c>
      <x:c r="B776" t="str">
        <x:v>2023-11</x:v>
      </x:c>
      <x:c r="C776" t="str">
        <x:v>Energy</x:v>
      </x:c>
      <x:c r="D776" t="str">
        <x:v>Grocery</x:v>
      </x:c>
      <x:c r="E776" t="str">
        <x:v>VIC</x:v>
      </x:c>
      <x:c r="F776" s="11" t="n">
        <x:v>252933.23</x:v>
      </x:c>
      <x:c r="G776" s="13" t="n">
        <x:v>55988</x:v>
      </x:c>
      <x:c r="H776" s="11" t="n">
        <x:v>133931.51</x:v>
      </x:c>
      <x:c r="I776" s="11" t="n">
        <x:v>243122.08</x:v>
      </x:c>
    </x:row>
    <x:row r="777">
      <x:c r="A777" t="n">
        <x:v>2023</x:v>
      </x:c>
      <x:c r="B777" t="str">
        <x:v>2023-11</x:v>
      </x:c>
      <x:c r="C777" t="str">
        <x:v>Energy</x:v>
      </x:c>
      <x:c r="D777" t="str">
        <x:v>Hospitality</x:v>
      </x:c>
      <x:c r="E777" t="str">
        <x:v>NSW</x:v>
      </x:c>
      <x:c r="F777" s="11" t="n">
        <x:v>34112.25</x:v>
      </x:c>
      <x:c r="G777" s="13" t="n">
        <x:v>8231</x:v>
      </x:c>
      <x:c r="H777" s="11" t="n">
        <x:v>16703.81</x:v>
      </x:c>
      <x:c r="I777" s="11" t="n">
        <x:v>32598.79</x:v>
      </x:c>
    </x:row>
    <x:row r="778">
      <x:c r="A778" t="n">
        <x:v>2023</x:v>
      </x:c>
      <x:c r="B778" t="str">
        <x:v>2023-11</x:v>
      </x:c>
      <x:c r="C778" t="str">
        <x:v>Energy</x:v>
      </x:c>
      <x:c r="D778" t="str">
        <x:v>Hospitality</x:v>
      </x:c>
      <x:c r="E778" t="str">
        <x:v>QLD</x:v>
      </x:c>
      <x:c r="F778" s="11" t="n">
        <x:v>32287.01</x:v>
      </x:c>
      <x:c r="G778" s="13" t="n">
        <x:v>7693</x:v>
      </x:c>
      <x:c r="H778" s="11" t="n">
        <x:v>16193.97</x:v>
      </x:c>
      <x:c r="I778" s="11" t="n">
        <x:v>31357.48</x:v>
      </x:c>
    </x:row>
    <x:row r="779">
      <x:c r="A779" t="n">
        <x:v>2023</x:v>
      </x:c>
      <x:c r="B779" t="str">
        <x:v>2023-11</x:v>
      </x:c>
      <x:c r="C779" t="str">
        <x:v>Energy</x:v>
      </x:c>
      <x:c r="D779" t="str">
        <x:v>Hospitality</x:v>
      </x:c>
      <x:c r="E779" t="str">
        <x:v>VIC</x:v>
      </x:c>
      <x:c r="F779" s="11" t="n">
        <x:v>32778.44</x:v>
      </x:c>
      <x:c r="G779" s="13" t="n">
        <x:v>7814</x:v>
      </x:c>
      <x:c r="H779" s="11" t="n">
        <x:v>16172.6</x:v>
      </x:c>
      <x:c r="I779" s="11" t="n">
        <x:v>30425.35</x:v>
      </x:c>
    </x:row>
    <x:row r="780">
      <x:c r="A780" t="n">
        <x:v>2023</x:v>
      </x:c>
      <x:c r="B780" t="str">
        <x:v>2023-11</x:v>
      </x:c>
      <x:c r="C780" t="str">
        <x:v>Energy</x:v>
      </x:c>
      <x:c r="D780" t="str">
        <x:v>Independent retail</x:v>
      </x:c>
      <x:c r="E780" t="str">
        <x:v>NSW</x:v>
      </x:c>
      <x:c r="F780" s="11" t="n">
        <x:v>90470.81</x:v>
      </x:c>
      <x:c r="G780" s="13" t="n">
        <x:v>19020</x:v>
      </x:c>
      <x:c r="H780" s="11" t="n">
        <x:v>50628.77</x:v>
      </x:c>
      <x:c r="I780" s="11" t="n">
        <x:v>88593.95</x:v>
      </x:c>
    </x:row>
    <x:row r="781">
      <x:c r="A781" t="n">
        <x:v>2023</x:v>
      </x:c>
      <x:c r="B781" t="str">
        <x:v>2023-11</x:v>
      </x:c>
      <x:c r="C781" t="str">
        <x:v>Energy</x:v>
      </x:c>
      <x:c r="D781" t="str">
        <x:v>Independent retail</x:v>
      </x:c>
      <x:c r="E781" t="str">
        <x:v>QLD</x:v>
      </x:c>
      <x:c r="F781" s="11" t="n">
        <x:v>88335.7</x:v>
      </x:c>
      <x:c r="G781" s="13" t="n">
        <x:v>18237</x:v>
      </x:c>
      <x:c r="H781" s="11" t="n">
        <x:v>49339.82</x:v>
      </x:c>
      <x:c r="I781" s="11" t="n">
        <x:v>85167.35</x:v>
      </x:c>
    </x:row>
    <x:row r="782">
      <x:c r="A782" t="n">
        <x:v>2023</x:v>
      </x:c>
      <x:c r="B782" t="str">
        <x:v>2023-11</x:v>
      </x:c>
      <x:c r="C782" t="str">
        <x:v>Energy</x:v>
      </x:c>
      <x:c r="D782" t="str">
        <x:v>Independent retail</x:v>
      </x:c>
      <x:c r="E782" t="str">
        <x:v>VIC</x:v>
      </x:c>
      <x:c r="F782" s="11" t="n">
        <x:v>84311.17</x:v>
      </x:c>
      <x:c r="G782" s="13" t="n">
        <x:v>17534</x:v>
      </x:c>
      <x:c r="H782" s="11" t="n">
        <x:v>47479.65</x:v>
      </x:c>
      <x:c r="I782" s="11" t="n">
        <x:v>82608.71</x:v>
      </x:c>
    </x:row>
    <x:row r="783">
      <x:c r="A783" t="n">
        <x:v>2023</x:v>
      </x:c>
      <x:c r="B783" t="str">
        <x:v>2023-11</x:v>
      </x:c>
      <x:c r="C783" t="str">
        <x:v>Energy</x:v>
      </x:c>
      <x:c r="D783" t="str">
        <x:v>Petrol</x:v>
      </x:c>
      <x:c r="E783" t="str">
        <x:v>NSW</x:v>
      </x:c>
      <x:c r="F783" s="11" t="n">
        <x:v>99758.24</x:v>
      </x:c>
      <x:c r="G783" s="13" t="n">
        <x:v>18773</x:v>
      </x:c>
      <x:c r="H783" s="11" t="n">
        <x:v>59291.24</x:v>
      </x:c>
      <x:c r="I783" s="11" t="n">
        <x:v>95437.53</x:v>
      </x:c>
    </x:row>
    <x:row r="784">
      <x:c r="A784" t="n">
        <x:v>2023</x:v>
      </x:c>
      <x:c r="B784" t="str">
        <x:v>2023-11</x:v>
      </x:c>
      <x:c r="C784" t="str">
        <x:v>Energy</x:v>
      </x:c>
      <x:c r="D784" t="str">
        <x:v>Petrol</x:v>
      </x:c>
      <x:c r="E784" t="str">
        <x:v>QLD</x:v>
      </x:c>
      <x:c r="F784" s="11" t="n">
        <x:v>96472.03</x:v>
      </x:c>
      <x:c r="G784" s="13" t="n">
        <x:v>18653</x:v>
      </x:c>
      <x:c r="H784" s="11" t="n">
        <x:v>56383.67</x:v>
      </x:c>
      <x:c r="I784" s="11" t="n">
        <x:v>91768.42</x:v>
      </x:c>
    </x:row>
    <x:row r="785">
      <x:c r="A785" t="n">
        <x:v>2023</x:v>
      </x:c>
      <x:c r="B785" t="str">
        <x:v>2023-11</x:v>
      </x:c>
      <x:c r="C785" t="str">
        <x:v>Energy</x:v>
      </x:c>
      <x:c r="D785" t="str">
        <x:v>Petrol</x:v>
      </x:c>
      <x:c r="E785" t="str">
        <x:v>VIC</x:v>
      </x:c>
      <x:c r="F785" s="11" t="n">
        <x:v>94241.17</x:v>
      </x:c>
      <x:c r="G785" s="13" t="n">
        <x:v>17952</x:v>
      </x:c>
      <x:c r="H785" s="11" t="n">
        <x:v>55354.73</x:v>
      </x:c>
      <x:c r="I785" s="11" t="n">
        <x:v>89004.18000000001</x:v>
      </x:c>
    </x:row>
    <x:row r="786">
      <x:c r="A786" t="n">
        <x:v>2023</x:v>
      </x:c>
      <x:c r="B786" t="str">
        <x:v>2023-11</x:v>
      </x:c>
      <x:c r="C786" t="str">
        <x:v>Sparkling</x:v>
      </x:c>
      <x:c r="D786" t="str">
        <x:v>Convenience</x:v>
      </x:c>
      <x:c r="E786" t="str">
        <x:v>NSW</x:v>
      </x:c>
      <x:c r="F786" s="11" t="n">
        <x:v>131939.82</x:v>
      </x:c>
      <x:c r="G786" s="13" t="n">
        <x:v>32534</x:v>
      </x:c>
      <x:c r="H786" s="11" t="n">
        <x:v>73921.08</x:v>
      </x:c>
      <x:c r="I786" s="11" t="n">
        <x:v>127277.83</x:v>
      </x:c>
    </x:row>
    <x:row r="787">
      <x:c r="A787" t="n">
        <x:v>2023</x:v>
      </x:c>
      <x:c r="B787" t="str">
        <x:v>2023-11</x:v>
      </x:c>
      <x:c r="C787" t="str">
        <x:v>Sparkling</x:v>
      </x:c>
      <x:c r="D787" t="str">
        <x:v>Convenience</x:v>
      </x:c>
      <x:c r="E787" t="str">
        <x:v>QLD</x:v>
      </x:c>
      <x:c r="F787" s="11" t="n">
        <x:v>125844.12</x:v>
      </x:c>
      <x:c r="G787" s="13" t="n">
        <x:v>31351</x:v>
      </x:c>
      <x:c r="H787" s="11" t="n">
        <x:v>69510.24</x:v>
      </x:c>
      <x:c r="I787" s="11" t="n">
        <x:v>122347.27</x:v>
      </x:c>
    </x:row>
    <x:row r="788">
      <x:c r="A788" t="n">
        <x:v>2023</x:v>
      </x:c>
      <x:c r="B788" t="str">
        <x:v>2023-11</x:v>
      </x:c>
      <x:c r="C788" t="str">
        <x:v>Sparkling</x:v>
      </x:c>
      <x:c r="D788" t="str">
        <x:v>Convenience</x:v>
      </x:c>
      <x:c r="E788" t="str">
        <x:v>VIC</x:v>
      </x:c>
      <x:c r="F788" s="11" t="n">
        <x:v>123121.85</x:v>
      </x:c>
      <x:c r="G788" s="13" t="n">
        <x:v>30142</x:v>
      </x:c>
      <x:c r="H788" s="11" t="n">
        <x:v>68878.59</x:v>
      </x:c>
      <x:c r="I788" s="11" t="n">
        <x:v>118685.09</x:v>
      </x:c>
    </x:row>
    <x:row r="789">
      <x:c r="A789" t="n">
        <x:v>2023</x:v>
      </x:c>
      <x:c r="B789" t="str">
        <x:v>2023-11</x:v>
      </x:c>
      <x:c r="C789" t="str">
        <x:v>Sparkling</x:v>
      </x:c>
      <x:c r="D789" t="str">
        <x:v>Grocery</x:v>
      </x:c>
      <x:c r="E789" t="str">
        <x:v>NSW</x:v>
      </x:c>
      <x:c r="F789" s="11" t="n">
        <x:v>319150.62</x:v>
      </x:c>
      <x:c r="G789" s="13" t="n">
        <x:v>92683</x:v>
      </x:c>
      <x:c r="H789" s="11" t="n">
        <x:v>152458.84</x:v>
      </x:c>
      <x:c r="I789" s="11" t="n">
        <x:v>316521.07</x:v>
      </x:c>
    </x:row>
    <x:row r="790">
      <x:c r="A790" t="n">
        <x:v>2023</x:v>
      </x:c>
      <x:c r="B790" t="str">
        <x:v>2023-11</x:v>
      </x:c>
      <x:c r="C790" t="str">
        <x:v>Sparkling</x:v>
      </x:c>
      <x:c r="D790" t="str">
        <x:v>Grocery</x:v>
      </x:c>
      <x:c r="E790" t="str">
        <x:v>QLD</x:v>
      </x:c>
      <x:c r="F790" s="11" t="n">
        <x:v>319656.41</x:v>
      </x:c>
      <x:c r="G790" s="13" t="n">
        <x:v>92465</x:v>
      </x:c>
      <x:c r="H790" s="11" t="n">
        <x:v>155686.41</x:v>
      </x:c>
      <x:c r="I790" s="11" t="n">
        <x:v>304413.35</x:v>
      </x:c>
    </x:row>
    <x:row r="791">
      <x:c r="A791" t="n">
        <x:v>2023</x:v>
      </x:c>
      <x:c r="B791" t="str">
        <x:v>2023-11</x:v>
      </x:c>
      <x:c r="C791" t="str">
        <x:v>Sparkling</x:v>
      </x:c>
      <x:c r="D791" t="str">
        <x:v>Grocery</x:v>
      </x:c>
      <x:c r="E791" t="str">
        <x:v>VIC</x:v>
      </x:c>
      <x:c r="F791" s="11" t="n">
        <x:v>304640.65</x:v>
      </x:c>
      <x:c r="G791" s="13" t="n">
        <x:v>89649</x:v>
      </x:c>
      <x:c r="H791" s="11" t="n">
        <x:v>146300.17</x:v>
      </x:c>
      <x:c r="I791" s="11" t="n">
        <x:v>295259.63</x:v>
      </x:c>
    </x:row>
    <x:row r="792">
      <x:c r="A792" t="n">
        <x:v>2023</x:v>
      </x:c>
      <x:c r="B792" t="str">
        <x:v>2023-11</x:v>
      </x:c>
      <x:c r="C792" t="str">
        <x:v>Sparkling</x:v>
      </x:c>
      <x:c r="D792" t="str">
        <x:v>Hospitality</x:v>
      </x:c>
      <x:c r="E792" t="str">
        <x:v>NSW</x:v>
      </x:c>
      <x:c r="F792" s="11" t="n">
        <x:v>41440.98</x:v>
      </x:c>
      <x:c r="G792" s="13" t="n">
        <x:v>13216</x:v>
      </x:c>
      <x:c r="H792" s="11" t="n">
        <x:v>18129.46</x:v>
      </x:c>
      <x:c r="I792" s="11" t="n">
        <x:v>39574.2</x:v>
      </x:c>
    </x:row>
    <x:row r="793">
      <x:c r="A793" t="n">
        <x:v>2023</x:v>
      </x:c>
      <x:c r="B793" t="str">
        <x:v>2023-11</x:v>
      </x:c>
      <x:c r="C793" t="str">
        <x:v>Sparkling</x:v>
      </x:c>
      <x:c r="D793" t="str">
        <x:v>Hospitality</x:v>
      </x:c>
      <x:c r="E793" t="str">
        <x:v>QLD</x:v>
      </x:c>
      <x:c r="F793" s="11" t="n">
        <x:v>38859.03</x:v>
      </x:c>
      <x:c r="G793" s="13" t="n">
        <x:v>12244</x:v>
      </x:c>
      <x:c r="H793" s="11" t="n">
        <x:v>17297.89</x:v>
      </x:c>
      <x:c r="I793" s="11" t="n">
        <x:v>38051.5</x:v>
      </x:c>
    </x:row>
    <x:row r="794">
      <x:c r="A794" t="n">
        <x:v>2023</x:v>
      </x:c>
      <x:c r="B794" t="str">
        <x:v>2023-11</x:v>
      </x:c>
      <x:c r="C794" t="str">
        <x:v>Sparkling</x:v>
      </x:c>
      <x:c r="D794" t="str">
        <x:v>Hospitality</x:v>
      </x:c>
      <x:c r="E794" t="str">
        <x:v>VIC</x:v>
      </x:c>
      <x:c r="F794" s="11" t="n">
        <x:v>38271.72</x:v>
      </x:c>
      <x:c r="G794" s="13" t="n">
        <x:v>12104</x:v>
      </x:c>
      <x:c r="H794" s="11" t="n">
        <x:v>16862.16</x:v>
      </x:c>
      <x:c r="I794" s="11" t="n">
        <x:v>36915.27</x:v>
      </x:c>
    </x:row>
    <x:row r="795">
      <x:c r="A795" t="n">
        <x:v>2023</x:v>
      </x:c>
      <x:c r="B795" t="str">
        <x:v>2023-11</x:v>
      </x:c>
      <x:c r="C795" t="str">
        <x:v>Sparkling</x:v>
      </x:c>
      <x:c r="D795" t="str">
        <x:v>Independent retail</x:v>
      </x:c>
      <x:c r="E795" t="str">
        <x:v>NSW</x:v>
      </x:c>
      <x:c r="F795" s="11" t="n">
        <x:v>110074.52</x:v>
      </x:c>
      <x:c r="G795" s="13" t="n">
        <x:v>30880</x:v>
      </x:c>
      <x:c r="H795" s="11" t="n">
        <x:v>55329.6</x:v>
      </x:c>
      <x:c r="I795" s="11" t="n">
        <x:v>107604.97</x:v>
      </x:c>
    </x:row>
    <x:row r="796">
      <x:c r="A796" t="n">
        <x:v>2023</x:v>
      </x:c>
      <x:c r="B796" t="str">
        <x:v>2023-11</x:v>
      </x:c>
      <x:c r="C796" t="str">
        <x:v>Sparkling</x:v>
      </x:c>
      <x:c r="D796" t="str">
        <x:v>Independent retail</x:v>
      </x:c>
      <x:c r="E796" t="str">
        <x:v>QLD</x:v>
      </x:c>
      <x:c r="F796" s="11" t="n">
        <x:v>107019.31999999999</x:v>
      </x:c>
      <x:c r="G796" s="13" t="n">
        <x:v>30266</x:v>
      </x:c>
      <x:c r="H796" s="11" t="n">
        <x:v>52542.04</x:v>
      </x:c>
      <x:c r="I796" s="11" t="n">
        <x:v>103461.55</x:v>
      </x:c>
    </x:row>
    <x:row r="797">
      <x:c r="A797" t="n">
        <x:v>2023</x:v>
      </x:c>
      <x:c r="B797" t="str">
        <x:v>2023-11</x:v>
      </x:c>
      <x:c r="C797" t="str">
        <x:v>Sparkling</x:v>
      </x:c>
      <x:c r="D797" t="str">
        <x:v>Independent retail</x:v>
      </x:c>
      <x:c r="E797" t="str">
        <x:v>VIC</x:v>
      </x:c>
      <x:c r="F797" s="11" t="n">
        <x:v>103647.65</x:v>
      </x:c>
      <x:c r="G797" s="13" t="n">
        <x:v>28992</x:v>
      </x:c>
      <x:c r="H797" s="11" t="n">
        <x:v>51416.35</x:v>
      </x:c>
      <x:c r="I797" s="11" t="n">
        <x:v>100357.88</x:v>
      </x:c>
    </x:row>
    <x:row r="798">
      <x:c r="A798" t="n">
        <x:v>2023</x:v>
      </x:c>
      <x:c r="B798" t="str">
        <x:v>2023-11</x:v>
      </x:c>
      <x:c r="C798" t="str">
        <x:v>Sparkling</x:v>
      </x:c>
      <x:c r="D798" t="str">
        <x:v>Petrol</x:v>
      </x:c>
      <x:c r="E798" t="str">
        <x:v>NSW</x:v>
      </x:c>
      <x:c r="F798" s="11" t="n">
        <x:v>122915.74</x:v>
      </x:c>
      <x:c r="G798" s="13" t="n">
        <x:v>32128</x:v>
      </x:c>
      <x:c r="H798" s="11" t="n">
        <x:v>65288.22</x:v>
      </x:c>
      <x:c r="I798" s="11" t="n">
        <x:v>116095.45</x:v>
      </x:c>
    </x:row>
    <x:row r="799">
      <x:c r="A799" t="n">
        <x:v>2023</x:v>
      </x:c>
      <x:c r="B799" t="str">
        <x:v>2023-11</x:v>
      </x:c>
      <x:c r="C799" t="str">
        <x:v>Sparkling</x:v>
      </x:c>
      <x:c r="D799" t="str">
        <x:v>Petrol</x:v>
      </x:c>
      <x:c r="E799" t="str">
        <x:v>QLD</x:v>
      </x:c>
      <x:c r="F799" s="11" t="n">
        <x:v>115189.11</x:v>
      </x:c>
      <x:c r="G799" s="13" t="n">
        <x:v>30282</x:v>
      </x:c>
      <x:c r="H799" s="11" t="n">
        <x:v>61302.97</x:v>
      </x:c>
      <x:c r="I799" s="11" t="n">
        <x:v>111617.81</x:v>
      </x:c>
    </x:row>
    <x:row r="800">
      <x:c r="A800" t="n">
        <x:v>2023</x:v>
      </x:c>
      <x:c r="B800" t="str">
        <x:v>2023-11</x:v>
      </x:c>
      <x:c r="C800" t="str">
        <x:v>Sparkling</x:v>
      </x:c>
      <x:c r="D800" t="str">
        <x:v>Petrol</x:v>
      </x:c>
      <x:c r="E800" t="str">
        <x:v>VIC</x:v>
      </x:c>
      <x:c r="F800" s="11" t="n">
        <x:v>114797.72</x:v>
      </x:c>
      <x:c r="G800" s="13" t="n">
        <x:v>30273</x:v>
      </x:c>
      <x:c r="H800" s="11" t="n">
        <x:v>60676.02</x:v>
      </x:c>
      <x:c r="I800" s="11" t="n">
        <x:v>108276.03</x:v>
      </x:c>
    </x:row>
    <x:row r="801">
      <x:c r="A801" t="n">
        <x:v>2023</x:v>
      </x:c>
      <x:c r="B801" t="str">
        <x:v>2023-11</x:v>
      </x:c>
      <x:c r="C801" t="str">
        <x:v>Sports</x:v>
      </x:c>
      <x:c r="D801" t="str">
        <x:v>Convenience</x:v>
      </x:c>
      <x:c r="E801" t="str">
        <x:v>NSW</x:v>
      </x:c>
      <x:c r="F801" s="11" t="n">
        <x:v>72037.06</x:v>
      </x:c>
      <x:c r="G801" s="13" t="n">
        <x:v>14302</x:v>
      </x:c>
      <x:c r="H801" s="11" t="n">
        <x:v>39667.25</x:v>
      </x:c>
      <x:c r="I801" s="11" t="n">
        <x:v>70305.8</x:v>
      </x:c>
    </x:row>
    <x:row r="802">
      <x:c r="A802" t="n">
        <x:v>2023</x:v>
      </x:c>
      <x:c r="B802" t="str">
        <x:v>2023-11</x:v>
      </x:c>
      <x:c r="C802" t="str">
        <x:v>Sports</x:v>
      </x:c>
      <x:c r="D802" t="str">
        <x:v>Convenience</x:v>
      </x:c>
      <x:c r="E802" t="str">
        <x:v>QLD</x:v>
      </x:c>
      <x:c r="F802" s="11" t="n">
        <x:v>70094.55</x:v>
      </x:c>
      <x:c r="G802" s="13" t="n">
        <x:v>14100</x:v>
      </x:c>
      <x:c r="H802" s="11" t="n">
        <x:v>37615.52</x:v>
      </x:c>
      <x:c r="I802" s="11" t="n">
        <x:v>67584.12</x:v>
      </x:c>
    </x:row>
    <x:row r="803">
      <x:c r="A803" t="n">
        <x:v>2023</x:v>
      </x:c>
      <x:c r="B803" t="str">
        <x:v>2023-11</x:v>
      </x:c>
      <x:c r="C803" t="str">
        <x:v>Sports</x:v>
      </x:c>
      <x:c r="D803" t="str">
        <x:v>Convenience</x:v>
      </x:c>
      <x:c r="E803" t="str">
        <x:v>VIC</x:v>
      </x:c>
      <x:c r="F803" s="11" t="n">
        <x:v>68444.94</x:v>
      </x:c>
      <x:c r="G803" s="13" t="n">
        <x:v>13408</x:v>
      </x:c>
      <x:c r="H803" s="11" t="n">
        <x:v>37560.71</x:v>
      </x:c>
      <x:c r="I803" s="11" t="n">
        <x:v>65579.25</x:v>
      </x:c>
    </x:row>
    <x:row r="804">
      <x:c r="A804" t="n">
        <x:v>2023</x:v>
      </x:c>
      <x:c r="B804" t="str">
        <x:v>2023-11</x:v>
      </x:c>
      <x:c r="C804" t="str">
        <x:v>Sports</x:v>
      </x:c>
      <x:c r="D804" t="str">
        <x:v>Grocery</x:v>
      </x:c>
      <x:c r="E804" t="str">
        <x:v>NSW</x:v>
      </x:c>
      <x:c r="F804" s="11" t="n">
        <x:v>182234.56</x:v>
      </x:c>
      <x:c r="G804" s="13" t="n">
        <x:v>44437</x:v>
      </x:c>
      <x:c r="H804" s="11" t="n">
        <x:v>81623.29</x:v>
      </x:c>
      <x:c r="I804" s="11" t="n">
        <x:v>174479.45</x:v>
      </x:c>
    </x:row>
    <x:row r="805">
      <x:c r="A805" t="n">
        <x:v>2023</x:v>
      </x:c>
      <x:c r="B805" t="str">
        <x:v>2023-11</x:v>
      </x:c>
      <x:c r="C805" t="str">
        <x:v>Sports</x:v>
      </x:c>
      <x:c r="D805" t="str">
        <x:v>Grocery</x:v>
      </x:c>
      <x:c r="E805" t="str">
        <x:v>QLD</x:v>
      </x:c>
      <x:c r="F805" s="11" t="n">
        <x:v>169868.21</x:v>
      </x:c>
      <x:c r="G805" s="13" t="n">
        <x:v>39971</x:v>
      </x:c>
      <x:c r="H805" s="11" t="n">
        <x:v>79855.59</x:v>
      </x:c>
      <x:c r="I805" s="11" t="n">
        <x:v>167748.36</x:v>
      </x:c>
    </x:row>
    <x:row r="806">
      <x:c r="A806" t="n">
        <x:v>2023</x:v>
      </x:c>
      <x:c r="B806" t="str">
        <x:v>2023-11</x:v>
      </x:c>
      <x:c r="C806" t="str">
        <x:v>Sports</x:v>
      </x:c>
      <x:c r="D806" t="str">
        <x:v>Grocery</x:v>
      </x:c>
      <x:c r="E806" t="str">
        <x:v>VIC</x:v>
      </x:c>
      <x:c r="F806" s="11" t="n">
        <x:v>166763.94</x:v>
      </x:c>
      <x:c r="G806" s="13" t="n">
        <x:v>39886</x:v>
      </x:c>
      <x:c r="H806" s="11" t="n">
        <x:v>76390.28</x:v>
      </x:c>
      <x:c r="I806" s="11" t="n">
        <x:v>162716.39</x:v>
      </x:c>
    </x:row>
    <x:row r="807">
      <x:c r="A807" t="n">
        <x:v>2023</x:v>
      </x:c>
      <x:c r="B807" t="str">
        <x:v>2023-11</x:v>
      </x:c>
      <x:c r="C807" t="str">
        <x:v>Sports</x:v>
      </x:c>
      <x:c r="D807" t="str">
        <x:v>Hospitality</x:v>
      </x:c>
      <x:c r="E807" t="str">
        <x:v>NSW</x:v>
      </x:c>
      <x:c r="F807" s="11" t="n">
        <x:v>23357.42</x:v>
      </x:c>
      <x:c r="G807" s="13" t="n">
        <x:v>6079</x:v>
      </x:c>
      <x:c r="H807" s="11" t="n">
        <x:v>9612.34</x:v>
      </x:c>
      <x:c r="I807" s="11" t="n">
        <x:v>21838.71</x:v>
      </x:c>
    </x:row>
    <x:row r="808">
      <x:c r="A808" t="n">
        <x:v>2023</x:v>
      </x:c>
      <x:c r="B808" t="str">
        <x:v>2023-11</x:v>
      </x:c>
      <x:c r="C808" t="str">
        <x:v>Sports</x:v>
      </x:c>
      <x:c r="D808" t="str">
        <x:v>Hospitality</x:v>
      </x:c>
      <x:c r="E808" t="str">
        <x:v>QLD</x:v>
      </x:c>
      <x:c r="F808" s="11" t="n">
        <x:v>21448.23</x:v>
      </x:c>
      <x:c r="G808" s="13" t="n">
        <x:v>5352</x:v>
      </x:c>
      <x:c r="H808" s="11" t="n">
        <x:v>9300.6</x:v>
      </x:c>
      <x:c r="I808" s="11" t="n">
        <x:v>21000.28</x:v>
      </x:c>
    </x:row>
    <x:row r="809">
      <x:c r="A809" t="n">
        <x:v>2023</x:v>
      </x:c>
      <x:c r="B809" t="str">
        <x:v>2023-11</x:v>
      </x:c>
      <x:c r="C809" t="str">
        <x:v>Sports</x:v>
      </x:c>
      <x:c r="D809" t="str">
        <x:v>Hospitality</x:v>
      </x:c>
      <x:c r="E809" t="str">
        <x:v>VIC</x:v>
      </x:c>
      <x:c r="F809" s="11" t="n">
        <x:v>20506.11</x:v>
      </x:c>
      <x:c r="G809" s="13" t="n">
        <x:v>5264</x:v>
      </x:c>
      <x:c r="H809" s="11" t="n">
        <x:v>8710.37</x:v>
      </x:c>
      <x:c r="I809" s="11" t="n">
        <x:v>20372.7</x:v>
      </x:c>
    </x:row>
    <x:row r="810">
      <x:c r="A810" t="n">
        <x:v>2023</x:v>
      </x:c>
      <x:c r="B810" t="str">
        <x:v>2023-11</x:v>
      </x:c>
      <x:c r="C810" t="str">
        <x:v>Sports</x:v>
      </x:c>
      <x:c r="D810" t="str">
        <x:v>Independent retail</x:v>
      </x:c>
      <x:c r="E810" t="str">
        <x:v>NSW</x:v>
      </x:c>
      <x:c r="F810" s="11" t="n">
        <x:v>61038.21</x:v>
      </x:c>
      <x:c r="G810" s="13" t="n">
        <x:v>13699</x:v>
      </x:c>
      <x:c r="H810" s="11" t="n">
        <x:v>29972.57</x:v>
      </x:c>
      <x:c r="I810" s="11" t="n">
        <x:v>59316.35</x:v>
      </x:c>
    </x:row>
    <x:row r="811">
      <x:c r="A811" t="n">
        <x:v>2023</x:v>
      </x:c>
      <x:c r="B811" t="str">
        <x:v>2023-11</x:v>
      </x:c>
      <x:c r="C811" t="str">
        <x:v>Sports</x:v>
      </x:c>
      <x:c r="D811" t="str">
        <x:v>Independent retail</x:v>
      </x:c>
      <x:c r="E811" t="str">
        <x:v>QLD</x:v>
      </x:c>
      <x:c r="F811" s="11" t="n">
        <x:v>59574.64</x:v>
      </x:c>
      <x:c r="G811" s="13" t="n">
        <x:v>13895</x:v>
      </x:c>
      <x:c r="H811" s="11" t="n">
        <x:v>27868.86</x:v>
      </x:c>
      <x:c r="I811" s="11" t="n">
        <x:v>57042.75</x:v>
      </x:c>
    </x:row>
    <x:row r="812">
      <x:c r="A812" t="n">
        <x:v>2023</x:v>
      </x:c>
      <x:c r="B812" t="str">
        <x:v>2023-11</x:v>
      </x:c>
      <x:c r="C812" t="str">
        <x:v>Sports</x:v>
      </x:c>
      <x:c r="D812" t="str">
        <x:v>Independent retail</x:v>
      </x:c>
      <x:c r="E812" t="str">
        <x:v>VIC</x:v>
      </x:c>
      <x:c r="F812" s="11" t="n">
        <x:v>57884.8</x:v>
      </x:c>
      <x:c r="G812" s="13" t="n">
        <x:v>13012</x:v>
      </x:c>
      <x:c r="H812" s="11" t="n">
        <x:v>27754.65</x:v>
      </x:c>
      <x:c r="I812" s="11" t="n">
        <x:v>55326.63</x:v>
      </x:c>
    </x:row>
    <x:row r="813">
      <x:c r="A813" t="n">
        <x:v>2023</x:v>
      </x:c>
      <x:c r="B813" t="str">
        <x:v>2023-11</x:v>
      </x:c>
      <x:c r="C813" t="str">
        <x:v>Sports</x:v>
      </x:c>
      <x:c r="D813" t="str">
        <x:v>Petrol</x:v>
      </x:c>
      <x:c r="E813" t="str">
        <x:v>NSW</x:v>
      </x:c>
      <x:c r="F813" s="11" t="n">
        <x:v>67166.85</x:v>
      </x:c>
      <x:c r="G813" s="13" t="n">
        <x:v>14327</x:v>
      </x:c>
      <x:c r="H813" s="11" t="n">
        <x:v>34109.37</x:v>
      </x:c>
      <x:c r="I813" s="11" t="n">
        <x:v>64275.81</x:v>
      </x:c>
    </x:row>
    <x:row r="814">
      <x:c r="A814" t="n">
        <x:v>2023</x:v>
      </x:c>
      <x:c r="B814" t="str">
        <x:v>2023-11</x:v>
      </x:c>
      <x:c r="C814" t="str">
        <x:v>Sports</x:v>
      </x:c>
      <x:c r="D814" t="str">
        <x:v>Petrol</x:v>
      </x:c>
      <x:c r="E814" t="str">
        <x:v>QLD</x:v>
      </x:c>
      <x:c r="F814" s="11" t="n">
        <x:v>63513.55</x:v>
      </x:c>
      <x:c r="G814" s="13" t="n">
        <x:v>13791</x:v>
      </x:c>
      <x:c r="H814" s="11" t="n">
        <x:v>32207.72</x:v>
      </x:c>
      <x:c r="I814" s="11" t="n">
        <x:v>61803.99</x:v>
      </x:c>
    </x:row>
    <x:row r="815">
      <x:c r="A815" t="n">
        <x:v>2023</x:v>
      </x:c>
      <x:c r="B815" t="str">
        <x:v>2023-11</x:v>
      </x:c>
      <x:c r="C815" t="str">
        <x:v>Sports</x:v>
      </x:c>
      <x:c r="D815" t="str">
        <x:v>Petrol</x:v>
      </x:c>
      <x:c r="E815" t="str">
        <x:v>VIC</x:v>
      </x:c>
      <x:c r="F815" s="11" t="n">
        <x:v>62926.95</x:v>
      </x:c>
      <x:c r="G815" s="13" t="n">
        <x:v>13713</x:v>
      </x:c>
      <x:c r="H815" s="11" t="n">
        <x:v>31779.84</x:v>
      </x:c>
      <x:c r="I815" s="11" t="n">
        <x:v>59939.02</x:v>
      </x:c>
    </x:row>
    <x:row r="816">
      <x:c r="A816" t="n">
        <x:v>2023</x:v>
      </x:c>
      <x:c r="B816" t="str">
        <x:v>2023-11</x:v>
      </x:c>
      <x:c r="C816" t="str">
        <x:v>Water</x:v>
      </x:c>
      <x:c r="D816" t="str">
        <x:v>Convenience</x:v>
      </x:c>
      <x:c r="E816" t="str">
        <x:v>NSW</x:v>
      </x:c>
      <x:c r="F816" s="11" t="n">
        <x:v>86360.48</x:v>
      </x:c>
      <x:c r="G816" s="13" t="n">
        <x:v>28583</x:v>
      </x:c>
      <x:c r="H816" s="11" t="n">
        <x:v>41354.12</x:v>
      </x:c>
      <x:c r="I816" s="11" t="n">
        <x:v>83696.5</x:v>
      </x:c>
    </x:row>
    <x:row r="817">
      <x:c r="A817" t="n">
        <x:v>2023</x:v>
      </x:c>
      <x:c r="B817" t="str">
        <x:v>2023-11</x:v>
      </x:c>
      <x:c r="C817" t="str">
        <x:v>Water</x:v>
      </x:c>
      <x:c r="D817" t="str">
        <x:v>Convenience</x:v>
      </x:c>
      <x:c r="E817" t="str">
        <x:v>QLD</x:v>
      </x:c>
      <x:c r="F817" s="11" t="n">
        <x:v>84563.03</x:v>
      </x:c>
      <x:c r="G817" s="13" t="n">
        <x:v>27835</x:v>
      </x:c>
      <x:c r="H817" s="11" t="n">
        <x:v>41275.79</x:v>
      </x:c>
      <x:c r="I817" s="11" t="n">
        <x:v>80487.75</x:v>
      </x:c>
    </x:row>
    <x:row r="818">
      <x:c r="A818" t="n">
        <x:v>2023</x:v>
      </x:c>
      <x:c r="B818" t="str">
        <x:v>2023-11</x:v>
      </x:c>
      <x:c r="C818" t="str">
        <x:v>Water</x:v>
      </x:c>
      <x:c r="D818" t="str">
        <x:v>Convenience</x:v>
      </x:c>
      <x:c r="E818" t="str">
        <x:v>VIC</x:v>
      </x:c>
      <x:c r="F818" s="11" t="n">
        <x:v>83070.16</x:v>
      </x:c>
      <x:c r="G818" s="13" t="n">
        <x:v>27390</x:v>
      </x:c>
      <x:c r="H818" s="11" t="n">
        <x:v>39974.76</x:v>
      </x:c>
      <x:c r="I818" s="11" t="n">
        <x:v>78057.67</x:v>
      </x:c>
    </x:row>
    <x:row r="819">
      <x:c r="A819" t="n">
        <x:v>2023</x:v>
      </x:c>
      <x:c r="B819" t="str">
        <x:v>2023-11</x:v>
      </x:c>
      <x:c r="C819" t="str">
        <x:v>Water</x:v>
      </x:c>
      <x:c r="D819" t="str">
        <x:v>Grocery</x:v>
      </x:c>
      <x:c r="E819" t="str">
        <x:v>NSW</x:v>
      </x:c>
      <x:c r="F819" s="11" t="n">
        <x:v>210510.72</x:v>
      </x:c>
      <x:c r="G819" s="13" t="n">
        <x:v>76391</x:v>
      </x:c>
      <x:c r="H819" s="11" t="n">
        <x:v>89770.32</x:v>
      </x:c>
      <x:c r="I819" s="11" t="n">
        <x:v>208898.18</x:v>
      </x:c>
    </x:row>
    <x:row r="820">
      <x:c r="A820" t="n">
        <x:v>2023</x:v>
      </x:c>
      <x:c r="B820" t="str">
        <x:v>2023-11</x:v>
      </x:c>
      <x:c r="C820" t="str">
        <x:v>Water</x:v>
      </x:c>
      <x:c r="D820" t="str">
        <x:v>Grocery</x:v>
      </x:c>
      <x:c r="E820" t="str">
        <x:v>QLD</x:v>
      </x:c>
      <x:c r="F820" s="11" t="n">
        <x:v>205059.86</x:v>
      </x:c>
      <x:c r="G820" s="13" t="n">
        <x:v>77898</x:v>
      </x:c>
      <x:c r="H820" s="11" t="n">
        <x:v>82605.58</x:v>
      </x:c>
      <x:c r="I820" s="11" t="n">
        <x:v>200866.2</x:v>
      </x:c>
    </x:row>
    <x:row r="821">
      <x:c r="A821" t="n">
        <x:v>2023</x:v>
      </x:c>
      <x:c r="B821" t="str">
        <x:v>2023-11</x:v>
      </x:c>
      <x:c r="C821" t="str">
        <x:v>Water</x:v>
      </x:c>
      <x:c r="D821" t="str">
        <x:v>Grocery</x:v>
      </x:c>
      <x:c r="E821" t="str">
        <x:v>VIC</x:v>
      </x:c>
      <x:c r="F821" s="11" t="n">
        <x:v>202002.04</x:v>
      </x:c>
      <x:c r="G821" s="13" t="n">
        <x:v>75368</x:v>
      </x:c>
      <x:c r="H821" s="11" t="n">
        <x:v>83840.2</x:v>
      </x:c>
      <x:c r="I821" s="11" t="n">
        <x:v>194857.02</x:v>
      </x:c>
    </x:row>
    <x:row r="822">
      <x:c r="A822" t="n">
        <x:v>2023</x:v>
      </x:c>
      <x:c r="B822" t="str">
        <x:v>2023-11</x:v>
      </x:c>
      <x:c r="C822" t="str">
        <x:v>Water</x:v>
      </x:c>
      <x:c r="D822" t="str">
        <x:v>Hospitality</x:v>
      </x:c>
      <x:c r="E822" t="str">
        <x:v>NSW</x:v>
      </x:c>
      <x:c r="F822" s="11" t="n">
        <x:v>26806.2</x:v>
      </x:c>
      <x:c r="G822" s="13" t="n">
        <x:v>10863</x:v>
      </x:c>
      <x:c r="H822" s="11" t="n">
        <x:v>9719.44</x:v>
      </x:c>
      <x:c r="I822" s="11" t="n">
        <x:v>26112.85</x:v>
      </x:c>
    </x:row>
    <x:row r="823">
      <x:c r="A823" t="n">
        <x:v>2023</x:v>
      </x:c>
      <x:c r="B823" t="str">
        <x:v>2023-11</x:v>
      </x:c>
      <x:c r="C823" t="str">
        <x:v>Water</x:v>
      </x:c>
      <x:c r="D823" t="str">
        <x:v>Hospitality</x:v>
      </x:c>
      <x:c r="E823" t="str">
        <x:v>QLD</x:v>
      </x:c>
      <x:c r="F823" s="11" t="n">
        <x:v>26445.079999999998</x:v>
      </x:c>
      <x:c r="G823" s="13" t="n">
        <x:v>10972</x:v>
      </x:c>
      <x:c r="H823" s="11" t="n">
        <x:v>9106.64</x:v>
      </x:c>
      <x:c r="I823" s="11" t="n">
        <x:v>25108.31</x:v>
      </x:c>
    </x:row>
    <x:row r="824">
      <x:c r="A824" t="n">
        <x:v>2023</x:v>
      </x:c>
      <x:c r="B824" t="str">
        <x:v>2023-11</x:v>
      </x:c>
      <x:c r="C824" t="str">
        <x:v>Water</x:v>
      </x:c>
      <x:c r="D824" t="str">
        <x:v>Hospitality</x:v>
      </x:c>
      <x:c r="E824" t="str">
        <x:v>VIC</x:v>
      </x:c>
      <x:c r="F824" s="11" t="n">
        <x:v>25527.43</x:v>
      </x:c>
      <x:c r="G824" s="13" t="n">
        <x:v>10425</x:v>
      </x:c>
      <x:c r="H824" s="11" t="n">
        <x:v>9011.43</x:v>
      </x:c>
      <x:c r="I824" s="11" t="n">
        <x:v>24351.59</x:v>
      </x:c>
    </x:row>
    <x:row r="825">
      <x:c r="A825" t="n">
        <x:v>2023</x:v>
      </x:c>
      <x:c r="B825" t="str">
        <x:v>2023-11</x:v>
      </x:c>
      <x:c r="C825" t="str">
        <x:v>Water</x:v>
      </x:c>
      <x:c r="D825" t="str">
        <x:v>Independent retail</x:v>
      </x:c>
      <x:c r="E825" t="str">
        <x:v>NSW</x:v>
      </x:c>
      <x:c r="F825" s="11" t="n">
        <x:v>71557.41</x:v>
      </x:c>
      <x:c r="G825" s="13" t="n">
        <x:v>26661</x:v>
      </x:c>
      <x:c r="H825" s="11" t="n">
        <x:v>29769.65</x:v>
      </x:c>
      <x:c r="I825" s="11" t="n">
        <x:v>71015.11</x:v>
      </x:c>
    </x:row>
    <x:row r="826">
      <x:c r="A826" t="n">
        <x:v>2023</x:v>
      </x:c>
      <x:c r="B826" t="str">
        <x:v>2023-11</x:v>
      </x:c>
      <x:c r="C826" t="str">
        <x:v>Water</x:v>
      </x:c>
      <x:c r="D826" t="str">
        <x:v>Independent retail</x:v>
      </x:c>
      <x:c r="E826" t="str">
        <x:v>QLD</x:v>
      </x:c>
      <x:c r="F826" s="11" t="n">
        <x:v>70811.15</x:v>
      </x:c>
      <x:c r="G826" s="13" t="n">
        <x:v>25443</x:v>
      </x:c>
      <x:c r="H826" s="11" t="n">
        <x:v>30921.19</x:v>
      </x:c>
      <x:c r="I826" s="11" t="n">
        <x:v>68270.71</x:v>
      </x:c>
    </x:row>
    <x:row r="827">
      <x:c r="A827" t="n">
        <x:v>2023</x:v>
      </x:c>
      <x:c r="B827" t="str">
        <x:v>2023-11</x:v>
      </x:c>
      <x:c r="C827" t="str">
        <x:v>Water</x:v>
      </x:c>
      <x:c r="D827" t="str">
        <x:v>Independent retail</x:v>
      </x:c>
      <x:c r="E827" t="str">
        <x:v>VIC</x:v>
      </x:c>
      <x:c r="F827" s="11" t="n">
        <x:v>67582.09</x:v>
      </x:c>
      <x:c r="G827" s="13" t="n">
        <x:v>25147</x:v>
      </x:c>
      <x:c r="H827" s="11" t="n">
        <x:v>28679.89</x:v>
      </x:c>
      <x:c r="I827" s="11" t="n">
        <x:v>66226.92</x:v>
      </x:c>
    </x:row>
    <x:row r="828">
      <x:c r="A828" t="n">
        <x:v>2023</x:v>
      </x:c>
      <x:c r="B828" t="str">
        <x:v>2023-11</x:v>
      </x:c>
      <x:c r="C828" t="str">
        <x:v>Water</x:v>
      </x:c>
      <x:c r="D828" t="str">
        <x:v>Petrol</x:v>
      </x:c>
      <x:c r="E828" t="str">
        <x:v>NSW</x:v>
      </x:c>
      <x:c r="F828" s="11" t="n">
        <x:v>80365.59</x:v>
      </x:c>
      <x:c r="G828" s="13" t="n">
        <x:v>26593</x:v>
      </x:c>
      <x:c r="H828" s="11" t="n">
        <x:v>38744.23</x:v>
      </x:c>
      <x:c r="I828" s="11" t="n">
        <x:v>76461.17</x:v>
      </x:c>
    </x:row>
    <x:row r="829">
      <x:c r="A829" t="n">
        <x:v>2023</x:v>
      </x:c>
      <x:c r="B829" t="str">
        <x:v>2023-11</x:v>
      </x:c>
      <x:c r="C829" t="str">
        <x:v>Water</x:v>
      </x:c>
      <x:c r="D829" t="str">
        <x:v>Petrol</x:v>
      </x:c>
      <x:c r="E829" t="str">
        <x:v>QLD</x:v>
      </x:c>
      <x:c r="F829" s="11" t="n">
        <x:v>77342.07</x:v>
      </x:c>
      <x:c r="G829" s="13" t="n">
        <x:v>24935</x:v>
      </x:c>
      <x:c r="H829" s="11" t="n">
        <x:v>37737.35</x:v>
      </x:c>
      <x:c r="I829" s="11" t="n">
        <x:v>73515.23</x:v>
      </x:c>
    </x:row>
    <x:row r="830">
      <x:c r="A830" t="n">
        <x:v>2023</x:v>
      </x:c>
      <x:c r="B830" t="str">
        <x:v>2023-11</x:v>
      </x:c>
      <x:c r="C830" t="str">
        <x:v>Water</x:v>
      </x:c>
      <x:c r="D830" t="str">
        <x:v>Petrol</x:v>
      </x:c>
      <x:c r="E830" t="str">
        <x:v>VIC</x:v>
      </x:c>
      <x:c r="F830" s="11" t="n">
        <x:v>74793.55</x:v>
      </x:c>
      <x:c r="G830" s="13" t="n">
        <x:v>24266</x:v>
      </x:c>
      <x:c r="H830" s="11" t="n">
        <x:v>36605.35</x:v>
      </x:c>
      <x:c r="I830" s="11" t="n">
        <x:v>71320.86</x:v>
      </x:c>
    </x:row>
    <x:row r="831">
      <x:c r="A831" t="n">
        <x:v>2023</x:v>
      </x:c>
      <x:c r="B831" t="str">
        <x:v>2023-12</x:v>
      </x:c>
      <x:c r="C831" t="str">
        <x:v>Coffee</x:v>
      </x:c>
      <x:c r="D831" t="str">
        <x:v>Convenience</x:v>
      </x:c>
      <x:c r="E831" t="str">
        <x:v>NSW</x:v>
      </x:c>
      <x:c r="F831" s="11" t="n">
        <x:v>31472.54</x:v>
      </x:c>
      <x:c r="G831" s="13" t="n">
        <x:v>6070</x:v>
      </x:c>
      <x:c r="H831" s="11" t="n">
        <x:v>14228.94</x:v>
      </x:c>
      <x:c r="I831" s="11" t="n">
        <x:v>31121.02</x:v>
      </x:c>
    </x:row>
    <x:row r="832">
      <x:c r="A832" t="n">
        <x:v>2023</x:v>
      </x:c>
      <x:c r="B832" t="str">
        <x:v>2023-12</x:v>
      </x:c>
      <x:c r="C832" t="str">
        <x:v>Coffee</x:v>
      </x:c>
      <x:c r="D832" t="str">
        <x:v>Convenience</x:v>
      </x:c>
      <x:c r="E832" t="str">
        <x:v>QLD</x:v>
      </x:c>
      <x:c r="F832" s="11" t="n">
        <x:v>29638.2</x:v>
      </x:c>
      <x:c r="G832" s="13" t="n">
        <x:v>5833</x:v>
      </x:c>
      <x:c r="H832" s="11" t="n">
        <x:v>12839.11</x:v>
      </x:c>
      <x:c r="I832" s="11" t="n">
        <x:v>29911.23</x:v>
      </x:c>
    </x:row>
    <x:row r="833">
      <x:c r="A833" t="n">
        <x:v>2023</x:v>
      </x:c>
      <x:c r="B833" t="str">
        <x:v>2023-12</x:v>
      </x:c>
      <x:c r="C833" t="str">
        <x:v>Coffee</x:v>
      </x:c>
      <x:c r="D833" t="str">
        <x:v>Convenience</x:v>
      </x:c>
      <x:c r="E833" t="str">
        <x:v>VIC</x:v>
      </x:c>
      <x:c r="F833" s="11" t="n">
        <x:v>29862.79</x:v>
      </x:c>
      <x:c r="G833" s="13" t="n">
        <x:v>5727</x:v>
      </x:c>
      <x:c r="H833" s="11" t="n">
        <x:v>13510.81</x:v>
      </x:c>
      <x:c r="I833" s="11" t="n">
        <x:v>28999.55</x:v>
      </x:c>
    </x:row>
    <x:row r="834">
      <x:c r="A834" t="n">
        <x:v>2023</x:v>
      </x:c>
      <x:c r="B834" t="str">
        <x:v>2023-12</x:v>
      </x:c>
      <x:c r="C834" t="str">
        <x:v>Coffee</x:v>
      </x:c>
      <x:c r="D834" t="str">
        <x:v>Grocery</x:v>
      </x:c>
      <x:c r="E834" t="str">
        <x:v>NSW</x:v>
      </x:c>
      <x:c r="F834" s="11" t="n">
        <x:v>78206.14</x:v>
      </x:c>
      <x:c r="G834" s="13" t="n">
        <x:v>18520</x:v>
      </x:c>
      <x:c r="H834" s="11" t="n">
        <x:v>25280.93</x:v>
      </x:c>
      <x:c r="I834" s="11" t="n">
        <x:v>77209.65</x:v>
      </x:c>
    </x:row>
    <x:row r="835">
      <x:c r="A835" t="n">
        <x:v>2023</x:v>
      </x:c>
      <x:c r="B835" t="str">
        <x:v>2023-12</x:v>
      </x:c>
      <x:c r="C835" t="str">
        <x:v>Coffee</x:v>
      </x:c>
      <x:c r="D835" t="str">
        <x:v>Grocery</x:v>
      </x:c>
      <x:c r="E835" t="str">
        <x:v>QLD</x:v>
      </x:c>
      <x:c r="F835" s="11" t="n">
        <x:v>73236.54</x:v>
      </x:c>
      <x:c r="G835" s="13" t="n">
        <x:v>16642</x:v>
      </x:c>
      <x:c r="H835" s="11" t="n">
        <x:v>25996.01</x:v>
      </x:c>
      <x:c r="I835" s="11" t="n">
        <x:v>74240.71</x:v>
      </x:c>
    </x:row>
    <x:row r="836">
      <x:c r="A836" t="n">
        <x:v>2023</x:v>
      </x:c>
      <x:c r="B836" t="str">
        <x:v>2023-12</x:v>
      </x:c>
      <x:c r="C836" t="str">
        <x:v>Coffee</x:v>
      </x:c>
      <x:c r="D836" t="str">
        <x:v>Grocery</x:v>
      </x:c>
      <x:c r="E836" t="str">
        <x:v>VIC</x:v>
      </x:c>
      <x:c r="F836" s="11" t="n">
        <x:v>71030.96</x:v>
      </x:c>
      <x:c r="G836" s="13" t="n">
        <x:v>16717</x:v>
      </x:c>
      <x:c r="H836" s="11" t="n">
        <x:v>23885.13</x:v>
      </x:c>
      <x:c r="I836" s="11" t="n">
        <x:v>72004.45</x:v>
      </x:c>
    </x:row>
    <x:row r="837">
      <x:c r="A837" t="n">
        <x:v>2023</x:v>
      </x:c>
      <x:c r="B837" t="str">
        <x:v>2023-12</x:v>
      </x:c>
      <x:c r="C837" t="str">
        <x:v>Coffee</x:v>
      </x:c>
      <x:c r="D837" t="str">
        <x:v>Hospitality</x:v>
      </x:c>
      <x:c r="E837" t="str">
        <x:v>NSW</x:v>
      </x:c>
      <x:c r="F837" s="11" t="n">
        <x:v>10532.78</x:v>
      </x:c>
      <x:c r="G837" s="13" t="n">
        <x:v>2666</x:v>
      </x:c>
      <x:c r="H837" s="11" t="n">
        <x:v>2937.19</x:v>
      </x:c>
      <x:c r="I837" s="11" t="n">
        <x:v>9669.71</x:v>
      </x:c>
    </x:row>
    <x:row r="838">
      <x:c r="A838" t="n">
        <x:v>2023</x:v>
      </x:c>
      <x:c r="B838" t="str">
        <x:v>2023-12</x:v>
      </x:c>
      <x:c r="C838" t="str">
        <x:v>Coffee</x:v>
      </x:c>
      <x:c r="D838" t="str">
        <x:v>Hospitality</x:v>
      </x:c>
      <x:c r="E838" t="str">
        <x:v>QLD</x:v>
      </x:c>
      <x:c r="F838" s="11" t="n">
        <x:v>9548.52</x:v>
      </x:c>
      <x:c r="G838" s="13" t="n">
        <x:v>2312</x:v>
      </x:c>
      <x:c r="H838" s="11" t="n">
        <x:v>2955.43</x:v>
      </x:c>
      <x:c r="I838" s="11" t="n">
        <x:v>9313.49</x:v>
      </x:c>
    </x:row>
    <x:row r="839">
      <x:c r="A839" t="n">
        <x:v>2023</x:v>
      </x:c>
      <x:c r="B839" t="str">
        <x:v>2023-12</x:v>
      </x:c>
      <x:c r="C839" t="str">
        <x:v>Coffee</x:v>
      </x:c>
      <x:c r="D839" t="str">
        <x:v>Hospitality</x:v>
      </x:c>
      <x:c r="E839" t="str">
        <x:v>VIC</x:v>
      </x:c>
      <x:c r="F839" s="11" t="n">
        <x:v>9233.51</x:v>
      </x:c>
      <x:c r="G839" s="13" t="n">
        <x:v>2274</x:v>
      </x:c>
      <x:c r="H839" s="11" t="n">
        <x:v>2763.99</x:v>
      </x:c>
      <x:c r="I839" s="11" t="n">
        <x:v>9044.91</x:v>
      </x:c>
    </x:row>
    <x:row r="840">
      <x:c r="A840" t="n">
        <x:v>2023</x:v>
      </x:c>
      <x:c r="B840" t="str">
        <x:v>2023-12</x:v>
      </x:c>
      <x:c r="C840" t="str">
        <x:v>Coffee</x:v>
      </x:c>
      <x:c r="D840" t="str">
        <x:v>Independent retail</x:v>
      </x:c>
      <x:c r="E840" t="str">
        <x:v>NSW</x:v>
      </x:c>
      <x:c r="F840" s="11" t="n">
        <x:v>26333.03</x:v>
      </x:c>
      <x:c r="G840" s="13" t="n">
        <x:v>5669</x:v>
      </x:c>
      <x:c r="H840" s="11" t="n">
        <x:v>10086.13</x:v>
      </x:c>
      <x:c r="I840" s="11" t="n">
        <x:v>26246.3</x:v>
      </x:c>
    </x:row>
    <x:row r="841">
      <x:c r="A841" t="n">
        <x:v>2023</x:v>
      </x:c>
      <x:c r="B841" t="str">
        <x:v>2023-12</x:v>
      </x:c>
      <x:c r="C841" t="str">
        <x:v>Coffee</x:v>
      </x:c>
      <x:c r="D841" t="str">
        <x:v>Independent retail</x:v>
      </x:c>
      <x:c r="E841" t="str">
        <x:v>QLD</x:v>
      </x:c>
      <x:c r="F841" s="11" t="n">
        <x:v>25585.53</x:v>
      </x:c>
      <x:c r="G841" s="13" t="n">
        <x:v>5802</x:v>
      </x:c>
      <x:c r="H841" s="11" t="n">
        <x:v>8893.87</x:v>
      </x:c>
      <x:c r="I841" s="11" t="n">
        <x:v>25222.93</x:v>
      </x:c>
    </x:row>
    <x:row r="842">
      <x:c r="A842" t="n">
        <x:v>2023</x:v>
      </x:c>
      <x:c r="B842" t="str">
        <x:v>2023-12</x:v>
      </x:c>
      <x:c r="C842" t="str">
        <x:v>Coffee</x:v>
      </x:c>
      <x:c r="D842" t="str">
        <x:v>Independent retail</x:v>
      </x:c>
      <x:c r="E842" t="str">
        <x:v>VIC</x:v>
      </x:c>
      <x:c r="F842" s="11" t="n">
        <x:v>24497.97</x:v>
      </x:c>
      <x:c r="G842" s="13" t="n">
        <x:v>5470</x:v>
      </x:c>
      <x:c r="H842" s="11" t="n">
        <x:v>8836.29</x:v>
      </x:c>
      <x:c r="I842" s="11" t="n">
        <x:v>24479.57</x:v>
      </x:c>
    </x:row>
    <x:row r="843">
      <x:c r="A843" t="n">
        <x:v>2023</x:v>
      </x:c>
      <x:c r="B843" t="str">
        <x:v>2023-12</x:v>
      </x:c>
      <x:c r="C843" t="str">
        <x:v>Coffee</x:v>
      </x:c>
      <x:c r="D843" t="str">
        <x:v>Petrol</x:v>
      </x:c>
      <x:c r="E843" t="str">
        <x:v>NSW</x:v>
      </x:c>
      <x:c r="F843" s="11" t="n">
        <x:v>28403.63</x:v>
      </x:c>
      <x:c r="G843" s="13" t="n">
        <x:v>5925</x:v>
      </x:c>
      <x:c r="H843" s="11" t="n">
        <x:v>11462.28</x:v>
      </x:c>
      <x:c r="I843" s="11" t="n">
        <x:v>28276.21</x:v>
      </x:c>
    </x:row>
    <x:row r="844">
      <x:c r="A844" t="n">
        <x:v>2023</x:v>
      </x:c>
      <x:c r="B844" t="str">
        <x:v>2023-12</x:v>
      </x:c>
      <x:c r="C844" t="str">
        <x:v>Coffee</x:v>
      </x:c>
      <x:c r="D844" t="str">
        <x:v>Petrol</x:v>
      </x:c>
      <x:c r="E844" t="str">
        <x:v>QLD</x:v>
      </x:c>
      <x:c r="F844" s="11" t="n">
        <x:v>27002.28</x:v>
      </x:c>
      <x:c r="G844" s="13" t="n">
        <x:v>5663</x:v>
      </x:c>
      <x:c r="H844" s="11" t="n">
        <x:v>10712.83</x:v>
      </x:c>
      <x:c r="I844" s="11" t="n">
        <x:v>27194.920000000002</x:v>
      </x:c>
    </x:row>
    <x:row r="845">
      <x:c r="A845" t="n">
        <x:v>2023</x:v>
      </x:c>
      <x:c r="B845" t="str">
        <x:v>2023-12</x:v>
      </x:c>
      <x:c r="C845" t="str">
        <x:v>Coffee</x:v>
      </x:c>
      <x:c r="D845" t="str">
        <x:v>Petrol</x:v>
      </x:c>
      <x:c r="E845" t="str">
        <x:v>VIC</x:v>
      </x:c>
      <x:c r="F845" s="11" t="n">
        <x:v>26653.16</x:v>
      </x:c>
      <x:c r="G845" s="13" t="n">
        <x:v>5618</x:v>
      </x:c>
      <x:c r="H845" s="11" t="n">
        <x:v>10552.58</x:v>
      </x:c>
      <x:c r="I845" s="11" t="n">
        <x:v>26365.6</x:v>
      </x:c>
    </x:row>
    <x:row r="846">
      <x:c r="A846" t="n">
        <x:v>2023</x:v>
      </x:c>
      <x:c r="B846" t="str">
        <x:v>2023-12</x:v>
      </x:c>
      <x:c r="C846" t="str">
        <x:v>Energy</x:v>
      </x:c>
      <x:c r="D846" t="str">
        <x:v>Convenience</x:v>
      </x:c>
      <x:c r="E846" t="str">
        <x:v>NSW</x:v>
      </x:c>
      <x:c r="F846" s="11" t="n">
        <x:v>75053.88</x:v>
      </x:c>
      <x:c r="G846" s="13" t="n">
        <x:v>14088</x:v>
      </x:c>
      <x:c r="H846" s="11" t="n">
        <x:v>45100.92</x:v>
      </x:c>
      <x:c r="I846" s="11" t="n">
        <x:v>114506.92</x:v>
      </x:c>
    </x:row>
    <x:row r="847">
      <x:c r="A847" t="n">
        <x:v>2023</x:v>
      </x:c>
      <x:c r="B847" t="str">
        <x:v>2023-12</x:v>
      </x:c>
      <x:c r="C847" t="str">
        <x:v>Energy</x:v>
      </x:c>
      <x:c r="D847" t="str">
        <x:v>Convenience</x:v>
      </x:c>
      <x:c r="E847" t="str">
        <x:v>QLD</x:v>
      </x:c>
      <x:c r="F847" s="11" t="n">
        <x:v>75124.52</x:v>
      </x:c>
      <x:c r="G847" s="13" t="n">
        <x:v>14627</x:v>
      </x:c>
      <x:c r="H847" s="11" t="n">
        <x:v>44372.76</x:v>
      </x:c>
      <x:c r="I847" s="11" t="n">
        <x:v>110087.9</x:v>
      </x:c>
    </x:row>
    <x:row r="848">
      <x:c r="A848" t="n">
        <x:v>2023</x:v>
      </x:c>
      <x:c r="B848" t="str">
        <x:v>2023-12</x:v>
      </x:c>
      <x:c r="C848" t="str">
        <x:v>Energy</x:v>
      </x:c>
      <x:c r="D848" t="str">
        <x:v>Convenience</x:v>
      </x:c>
      <x:c r="E848" t="str">
        <x:v>VIC</x:v>
      </x:c>
      <x:c r="F848" s="11" t="n">
        <x:v>71629.4</x:v>
      </x:c>
      <x:c r="G848" s="13" t="n">
        <x:v>13519</x:v>
      </x:c>
      <x:c r="H848" s="11" t="n">
        <x:v>42682.92</x:v>
      </x:c>
      <x:c r="I848" s="11" t="n">
        <x:v>106778.86</x:v>
      </x:c>
    </x:row>
    <x:row r="849">
      <x:c r="A849" t="n">
        <x:v>2023</x:v>
      </x:c>
      <x:c r="B849" t="str">
        <x:v>2023-12</x:v>
      </x:c>
      <x:c r="C849" t="str">
        <x:v>Energy</x:v>
      </x:c>
      <x:c r="D849" t="str">
        <x:v>Grocery</x:v>
      </x:c>
      <x:c r="E849" t="str">
        <x:v>NSW</x:v>
      </x:c>
      <x:c r="F849" s="11" t="n">
        <x:v>293097.67</x:v>
      </x:c>
      <x:c r="G849" s="13" t="n">
        <x:v>63180</x:v>
      </x:c>
      <x:c r="H849" s="11" t="n">
        <x:v>160417.15</x:v>
      </x:c>
      <x:c r="I849" s="11" t="n">
        <x:v>285129.16</x:v>
      </x:c>
    </x:row>
    <x:row r="850">
      <x:c r="A850" t="n">
        <x:v>2023</x:v>
      </x:c>
      <x:c r="B850" t="str">
        <x:v>2023-12</x:v>
      </x:c>
      <x:c r="C850" t="str">
        <x:v>Energy</x:v>
      </x:c>
      <x:c r="D850" t="str">
        <x:v>Grocery</x:v>
      </x:c>
      <x:c r="E850" t="str">
        <x:v>QLD</x:v>
      </x:c>
      <x:c r="F850" s="11" t="n">
        <x:v>282340.63</x:v>
      </x:c>
      <x:c r="G850" s="13" t="n">
        <x:v>59964</x:v>
      </x:c>
      <x:c r="H850" s="11" t="n">
        <x:v>153071.23</x:v>
      </x:c>
      <x:c r="I850" s="11" t="n">
        <x:v>274156.56</x:v>
      </x:c>
    </x:row>
    <x:row r="851">
      <x:c r="A851" t="n">
        <x:v>2023</x:v>
      </x:c>
      <x:c r="B851" t="str">
        <x:v>2023-12</x:v>
      </x:c>
      <x:c r="C851" t="str">
        <x:v>Energy</x:v>
      </x:c>
      <x:c r="D851" t="str">
        <x:v>Grocery</x:v>
      </x:c>
      <x:c r="E851" t="str">
        <x:v>VIC</x:v>
      </x:c>
      <x:c r="F851" s="11" t="n">
        <x:v>271103.26</x:v>
      </x:c>
      <x:c r="G851" s="13" t="n">
        <x:v>57776</x:v>
      </x:c>
      <x:c r="H851" s="11" t="n">
        <x:v>148959.14</x:v>
      </x:c>
      <x:c r="I851" s="11" t="n">
        <x:v>265911.89</x:v>
      </x:c>
    </x:row>
    <x:row r="852">
      <x:c r="A852" t="n">
        <x:v>2023</x:v>
      </x:c>
      <x:c r="B852" t="str">
        <x:v>2023-12</x:v>
      </x:c>
      <x:c r="C852" t="str">
        <x:v>Energy</x:v>
      </x:c>
      <x:c r="D852" t="str">
        <x:v>Hospitality</x:v>
      </x:c>
      <x:c r="E852" t="str">
        <x:v>NSW</x:v>
      </x:c>
      <x:c r="F852" s="11" t="n">
        <x:v>37406.02</x:v>
      </x:c>
      <x:c r="G852" s="13" t="n">
        <x:v>8779</x:v>
      </x:c>
      <x:c r="H852" s="11" t="n">
        <x:v>19042.54</x:v>
      </x:c>
      <x:c r="I852" s="11" t="n">
        <x:v>35668.15</x:v>
      </x:c>
    </x:row>
    <x:row r="853">
      <x:c r="A853" t="n">
        <x:v>2023</x:v>
      </x:c>
      <x:c r="B853" t="str">
        <x:v>2023-12</x:v>
      </x:c>
      <x:c r="C853" t="str">
        <x:v>Energy</x:v>
      </x:c>
      <x:c r="D853" t="str">
        <x:v>Hospitality</x:v>
      </x:c>
      <x:c r="E853" t="str">
        <x:v>QLD</x:v>
      </x:c>
      <x:c r="F853" s="11" t="n">
        <x:v>36989.19</x:v>
      </x:c>
      <x:c r="G853" s="13" t="n">
        <x:v>8563</x:v>
      </x:c>
      <x:c r="H853" s="11" t="n">
        <x:v>18331.51</x:v>
      </x:c>
      <x:c r="I853" s="11" t="n">
        <x:v>34300.86</x:v>
      </x:c>
    </x:row>
    <x:row r="854">
      <x:c r="A854" t="n">
        <x:v>2023</x:v>
      </x:c>
      <x:c r="B854" t="str">
        <x:v>2023-12</x:v>
      </x:c>
      <x:c r="C854" t="str">
        <x:v>Energy</x:v>
      </x:c>
      <x:c r="D854" t="str">
        <x:v>Hospitality</x:v>
      </x:c>
      <x:c r="E854" t="str">
        <x:v>VIC</x:v>
      </x:c>
      <x:c r="F854" s="11" t="n">
        <x:v>35089.07</x:v>
      </x:c>
      <x:c r="G854" s="13" t="n">
        <x:v>8058</x:v>
      </x:c>
      <x:c r="H854" s="11" t="n">
        <x:v>17609.35</x:v>
      </x:c>
      <x:c r="I854" s="11" t="n">
        <x:v>33252.1</x:v>
      </x:c>
    </x:row>
    <x:row r="855">
      <x:c r="A855" t="n">
        <x:v>2023</x:v>
      </x:c>
      <x:c r="B855" t="str">
        <x:v>2023-12</x:v>
      </x:c>
      <x:c r="C855" t="str">
        <x:v>Energy</x:v>
      </x:c>
      <x:c r="D855" t="str">
        <x:v>Independent retail</x:v>
      </x:c>
      <x:c r="E855" t="str">
        <x:v>NSW</x:v>
      </x:c>
      <x:c r="F855" s="11" t="n">
        <x:v>101346.27</x:v>
      </x:c>
      <x:c r="G855" s="13" t="n">
        <x:v>21430</x:v>
      </x:c>
      <x:c r="H855" s="11" t="n">
        <x:v>55365.03</x:v>
      </x:c>
      <x:c r="I855" s="11" t="n">
        <x:v>96875.91</x:v>
      </x:c>
    </x:row>
    <x:row r="856">
      <x:c r="A856" t="n">
        <x:v>2023</x:v>
      </x:c>
      <x:c r="B856" t="str">
        <x:v>2023-12</x:v>
      </x:c>
      <x:c r="C856" t="str">
        <x:v>Energy</x:v>
      </x:c>
      <x:c r="D856" t="str">
        <x:v>Independent retail</x:v>
      </x:c>
      <x:c r="E856" t="str">
        <x:v>QLD</x:v>
      </x:c>
      <x:c r="F856" s="11" t="n">
        <x:v>96714.68</x:v>
      </x:c>
      <x:c r="G856" s="13" t="n">
        <x:v>20507</x:v>
      </x:c>
      <x:c r="H856" s="11" t="n">
        <x:v>53223.28</x:v>
      </x:c>
      <x:c r="I856" s="11" t="n">
        <x:v>93144.6</x:v>
      </x:c>
    </x:row>
    <x:row r="857">
      <x:c r="A857" t="n">
        <x:v>2023</x:v>
      </x:c>
      <x:c r="B857" t="str">
        <x:v>2023-12</x:v>
      </x:c>
      <x:c r="C857" t="str">
        <x:v>Energy</x:v>
      </x:c>
      <x:c r="D857" t="str">
        <x:v>Independent retail</x:v>
      </x:c>
      <x:c r="E857" t="str">
        <x:v>VIC</x:v>
      </x:c>
      <x:c r="F857" s="11" t="n">
        <x:v>97784.33</x:v>
      </x:c>
      <x:c r="G857" s="13" t="n">
        <x:v>20915</x:v>
      </x:c>
      <x:c r="H857" s="11" t="n">
        <x:v>52997.05</x:v>
      </x:c>
      <x:c r="I857" s="11" t="n">
        <x:v>90344.56</x:v>
      </x:c>
    </x:row>
    <x:row r="858">
      <x:c r="A858" t="n">
        <x:v>2023</x:v>
      </x:c>
      <x:c r="B858" t="str">
        <x:v>2023-12</x:v>
      </x:c>
      <x:c r="C858" t="str">
        <x:v>Energy</x:v>
      </x:c>
      <x:c r="D858" t="str">
        <x:v>Petrol</x:v>
      </x:c>
      <x:c r="E858" t="str">
        <x:v>NSW</x:v>
      </x:c>
      <x:c r="F858" s="11" t="n">
        <x:v>109579.09</x:v>
      </x:c>
      <x:c r="G858" s="13" t="n">
        <x:v>21440</x:v>
      </x:c>
      <x:c r="H858" s="11" t="n">
        <x:v>64303.29</x:v>
      </x:c>
      <x:c r="I858" s="11" t="n">
        <x:v>104388.54</x:v>
      </x:c>
    </x:row>
    <x:row r="859">
      <x:c r="A859" t="n">
        <x:v>2023</x:v>
      </x:c>
      <x:c r="B859" t="str">
        <x:v>2023-12</x:v>
      </x:c>
      <x:c r="C859" t="str">
        <x:v>Energy</x:v>
      </x:c>
      <x:c r="D859" t="str">
        <x:v>Petrol</x:v>
      </x:c>
      <x:c r="E859" t="str">
        <x:v>QLD</x:v>
      </x:c>
      <x:c r="F859" s="11" t="n">
        <x:v>102123.71</x:v>
      </x:c>
      <x:c r="G859" s="13" t="n">
        <x:v>19596</x:v>
      </x:c>
      <x:c r="H859" s="11" t="n">
        <x:v>60872.27</x:v>
      </x:c>
      <x:c r="I859" s="11" t="n">
        <x:v>100358.59</x:v>
      </x:c>
    </x:row>
    <x:row r="860">
      <x:c r="A860" t="n">
        <x:v>2023</x:v>
      </x:c>
      <x:c r="B860" t="str">
        <x:v>2023-12</x:v>
      </x:c>
      <x:c r="C860" t="str">
        <x:v>Energy</x:v>
      </x:c>
      <x:c r="D860" t="str">
        <x:v>Petrol</x:v>
      </x:c>
      <x:c r="E860" t="str">
        <x:v>VIC</x:v>
      </x:c>
      <x:c r="F860" s="11" t="n">
        <x:v>96994.03</x:v>
      </x:c>
      <x:c r="G860" s="13" t="n">
        <x:v>18746</x:v>
      </x:c>
      <x:c r="H860" s="11" t="n">
        <x:v>57541.67</x:v>
      </x:c>
      <x:c r="I860" s="11" t="n">
        <x:v>97353.84</x:v>
      </x:c>
    </x:row>
    <x:row r="861">
      <x:c r="A861" t="n">
        <x:v>2023</x:v>
      </x:c>
      <x:c r="B861" t="str">
        <x:v>2023-12</x:v>
      </x:c>
      <x:c r="C861" t="str">
        <x:v>Sparkling</x:v>
      </x:c>
      <x:c r="D861" t="str">
        <x:v>Convenience</x:v>
      </x:c>
      <x:c r="E861" t="str">
        <x:v>NSW</x:v>
      </x:c>
      <x:c r="F861" s="11" t="n">
        <x:v>141747.15</x:v>
      </x:c>
      <x:c r="G861" s="13" t="n">
        <x:v>35883</x:v>
      </x:c>
      <x:c r="H861" s="11" t="n">
        <x:v>77714.95</x:v>
      </x:c>
      <x:c r="I861" s="11" t="n">
        <x:v>139203.65</x:v>
      </x:c>
    </x:row>
    <x:row r="862">
      <x:c r="A862" t="n">
        <x:v>2023</x:v>
      </x:c>
      <x:c r="B862" t="str">
        <x:v>2023-12</x:v>
      </x:c>
      <x:c r="C862" t="str">
        <x:v>Sparkling</x:v>
      </x:c>
      <x:c r="D862" t="str">
        <x:v>Convenience</x:v>
      </x:c>
      <x:c r="E862" t="str">
        <x:v>QLD</x:v>
      </x:c>
      <x:c r="F862" s="11" t="n">
        <x:v>134549.81</x:v>
      </x:c>
      <x:c r="G862" s="13" t="n">
        <x:v>33426</x:v>
      </x:c>
      <x:c r="H862" s="11" t="n">
        <x:v>74866.99</x:v>
      </x:c>
      <x:c r="I862" s="11" t="n">
        <x:v>133849.25</x:v>
      </x:c>
    </x:row>
    <x:row r="863">
      <x:c r="A863" t="n">
        <x:v>2023</x:v>
      </x:c>
      <x:c r="B863" t="str">
        <x:v>2023-12</x:v>
      </x:c>
      <x:c r="C863" t="str">
        <x:v>Sparkling</x:v>
      </x:c>
      <x:c r="D863" t="str">
        <x:v>Convenience</x:v>
      </x:c>
      <x:c r="E863" t="str">
        <x:v>VIC</x:v>
      </x:c>
      <x:c r="F863" s="11" t="n">
        <x:v>131847.7</x:v>
      </x:c>
      <x:c r="G863" s="13" t="n">
        <x:v>33320</x:v>
      </x:c>
      <x:c r="H863" s="11" t="n">
        <x:v>72439.62</x:v>
      </x:c>
      <x:c r="I863" s="11" t="n">
        <x:v>129836.09</x:v>
      </x:c>
    </x:row>
    <x:row r="864">
      <x:c r="A864" t="n">
        <x:v>2023</x:v>
      </x:c>
      <x:c r="B864" t="str">
        <x:v>2023-12</x:v>
      </x:c>
      <x:c r="C864" t="str">
        <x:v>Sparkling</x:v>
      </x:c>
      <x:c r="D864" t="str">
        <x:v>Grocery</x:v>
      </x:c>
      <x:c r="E864" t="str">
        <x:v>NSW</x:v>
      </x:c>
      <x:c r="F864" s="11" t="n">
        <x:v>361021.84</x:v>
      </x:c>
      <x:c r="G864" s="13" t="n">
        <x:v>102624</x:v>
      </x:c>
      <x:c r="H864" s="11" t="n">
        <x:v>175335.48</x:v>
      </x:c>
      <x:c r="I864" s="11" t="n">
        <x:v>346262.39</x:v>
      </x:c>
    </x:row>
    <x:row r="865">
      <x:c r="A865" t="n">
        <x:v>2023</x:v>
      </x:c>
      <x:c r="B865" t="str">
        <x:v>2023-12</x:v>
      </x:c>
      <x:c r="C865" t="str">
        <x:v>Sparkling</x:v>
      </x:c>
      <x:c r="D865" t="str">
        <x:v>Grocery</x:v>
      </x:c>
      <x:c r="E865" t="str">
        <x:v>QLD</x:v>
      </x:c>
      <x:c r="F865" s="11" t="n">
        <x:v>339574.47000000003</x:v>
      </x:c>
      <x:c r="G865" s="13" t="n">
        <x:v>99194</x:v>
      </x:c>
      <x:c r="H865" s="11" t="n">
        <x:v>161391.93</x:v>
      </x:c>
      <x:c r="I865" s="11" t="n">
        <x:v>332985.89</x:v>
      </x:c>
    </x:row>
    <x:row r="866">
      <x:c r="A866" t="n">
        <x:v>2023</x:v>
      </x:c>
      <x:c r="B866" t="str">
        <x:v>2023-12</x:v>
      </x:c>
      <x:c r="C866" t="str">
        <x:v>Sparkling</x:v>
      </x:c>
      <x:c r="D866" t="str">
        <x:v>Grocery</x:v>
      </x:c>
      <x:c r="E866" t="str">
        <x:v>VIC</x:v>
      </x:c>
      <x:c r="F866" s="11" t="n">
        <x:v>347238.92</x:v>
      </x:c>
      <x:c r="G866" s="13" t="n">
        <x:v>99523</x:v>
      </x:c>
      <x:c r="H866" s="11" t="n">
        <x:v>165932.84</x:v>
      </x:c>
      <x:c r="I866" s="11" t="n">
        <x:v>322986.67</x:v>
      </x:c>
    </x:row>
    <x:row r="867">
      <x:c r="A867" t="n">
        <x:v>2023</x:v>
      </x:c>
      <x:c r="B867" t="str">
        <x:v>2023-12</x:v>
      </x:c>
      <x:c r="C867" t="str">
        <x:v>Sparkling</x:v>
      </x:c>
      <x:c r="D867" t="str">
        <x:v>Hospitality</x:v>
      </x:c>
      <x:c r="E867" t="str">
        <x:v>NSW</x:v>
      </x:c>
      <x:c r="F867" s="11" t="n">
        <x:v>44315.94</x:v>
      </x:c>
      <x:c r="G867" s="13" t="n">
        <x:v>13944</x:v>
      </x:c>
      <x:c r="H867" s="11" t="n">
        <x:v>19115.76</x:v>
      </x:c>
      <x:c r="I867" s="11" t="n">
        <x:v>43273.61</x:v>
      </x:c>
    </x:row>
    <x:row r="868">
      <x:c r="A868" t="n">
        <x:v>2023</x:v>
      </x:c>
      <x:c r="B868" t="str">
        <x:v>2023-12</x:v>
      </x:c>
      <x:c r="C868" t="str">
        <x:v>Sparkling</x:v>
      </x:c>
      <x:c r="D868" t="str">
        <x:v>Hospitality</x:v>
      </x:c>
      <x:c r="E868" t="str">
        <x:v>QLD</x:v>
      </x:c>
      <x:c r="F868" s="11" t="n">
        <x:v>42846.97</x:v>
      </x:c>
      <x:c r="G868" s="13" t="n">
        <x:v>13754</x:v>
      </x:c>
      <x:c r="H868" s="11" t="n">
        <x:v>18410.09</x:v>
      </x:c>
      <x:c r="I868" s="11" t="n">
        <x:v>41614.12</x:v>
      </x:c>
    </x:row>
    <x:row r="869">
      <x:c r="A869" t="n">
        <x:v>2023</x:v>
      </x:c>
      <x:c r="B869" t="str">
        <x:v>2023-12</x:v>
      </x:c>
      <x:c r="C869" t="str">
        <x:v>Sparkling</x:v>
      </x:c>
      <x:c r="D869" t="str">
        <x:v>Hospitality</x:v>
      </x:c>
      <x:c r="E869" t="str">
        <x:v>VIC</x:v>
      </x:c>
      <x:c r="F869" s="11" t="n">
        <x:v>42626.16</x:v>
      </x:c>
      <x:c r="G869" s="13" t="n">
        <x:v>13523</x:v>
      </x:c>
      <x:c r="H869" s="11" t="n">
        <x:v>18257.42</x:v>
      </x:c>
      <x:c r="I869" s="11" t="n">
        <x:v>40354.93</x:v>
      </x:c>
    </x:row>
    <x:row r="870">
      <x:c r="A870" t="n">
        <x:v>2023</x:v>
      </x:c>
      <x:c r="B870" t="str">
        <x:v>2023-12</x:v>
      </x:c>
      <x:c r="C870" t="str">
        <x:v>Sparkling</x:v>
      </x:c>
      <x:c r="D870" t="str">
        <x:v>Independent retail</x:v>
      </x:c>
      <x:c r="E870" t="str">
        <x:v>NSW</x:v>
      </x:c>
      <x:c r="F870" s="11" t="n">
        <x:v>122808.04</x:v>
      </x:c>
      <x:c r="G870" s="13" t="n">
        <x:v>35096</x:v>
      </x:c>
      <x:c r="H870" s="11" t="n">
        <x:v>60521.7</x:v>
      </x:c>
      <x:c r="I870" s="11" t="n">
        <x:v>117715.8</x:v>
      </x:c>
    </x:row>
    <x:row r="871">
      <x:c r="A871" t="n">
        <x:v>2023</x:v>
      </x:c>
      <x:c r="B871" t="str">
        <x:v>2023-12</x:v>
      </x:c>
      <x:c r="C871" t="str">
        <x:v>Sparkling</x:v>
      </x:c>
      <x:c r="D871" t="str">
        <x:v>Independent retail</x:v>
      </x:c>
      <x:c r="E871" t="str">
        <x:v>QLD</x:v>
      </x:c>
      <x:c r="F871" s="11" t="n">
        <x:v>116302.1</x:v>
      </x:c>
      <x:c r="G871" s="13" t="n">
        <x:v>32650</x:v>
      </x:c>
      <x:c r="H871" s="11" t="n">
        <x:v>58421.92</x:v>
      </x:c>
      <x:c r="I871" s="11" t="n">
        <x:v>113191.04</x:v>
      </x:c>
    </x:row>
    <x:row r="872">
      <x:c r="A872" t="n">
        <x:v>2023</x:v>
      </x:c>
      <x:c r="B872" t="str">
        <x:v>2023-12</x:v>
      </x:c>
      <x:c r="C872" t="str">
        <x:v>Sparkling</x:v>
      </x:c>
      <x:c r="D872" t="str">
        <x:v>Independent retail</x:v>
      </x:c>
      <x:c r="E872" t="str">
        <x:v>VIC</x:v>
      </x:c>
      <x:c r="F872" s="11" t="n">
        <x:v>113161.85</x:v>
      </x:c>
      <x:c r="G872" s="13" t="n">
        <x:v>31589</x:v>
      </x:c>
      <x:c r="H872" s="11" t="n">
        <x:v>56655.67</x:v>
      </x:c>
      <x:c r="I872" s="11" t="n">
        <x:v>109792.45</x:v>
      </x:c>
    </x:row>
    <x:row r="873">
      <x:c r="A873" t="n">
        <x:v>2023</x:v>
      </x:c>
      <x:c r="B873" t="str">
        <x:v>2023-12</x:v>
      </x:c>
      <x:c r="C873" t="str">
        <x:v>Sparkling</x:v>
      </x:c>
      <x:c r="D873" t="str">
        <x:v>Petrol</x:v>
      </x:c>
      <x:c r="E873" t="str">
        <x:v>NSW</x:v>
      </x:c>
      <x:c r="F873" s="11" t="n">
        <x:v>130828.13</x:v>
      </x:c>
      <x:c r="G873" s="13" t="n">
        <x:v>33394</x:v>
      </x:c>
      <x:c r="H873" s="11" t="n">
        <x:v>71043.23</x:v>
      </x:c>
      <x:c r="I873" s="11" t="n">
        <x:v>126989.96</x:v>
      </x:c>
    </x:row>
    <x:row r="874">
      <x:c r="A874" t="n">
        <x:v>2023</x:v>
      </x:c>
      <x:c r="B874" t="str">
        <x:v>2023-12</x:v>
      </x:c>
      <x:c r="C874" t="str">
        <x:v>Sparkling</x:v>
      </x:c>
      <x:c r="D874" t="str">
        <x:v>Petrol</x:v>
      </x:c>
      <x:c r="E874" t="str">
        <x:v>QLD</x:v>
      </x:c>
      <x:c r="F874" s="11" t="n">
        <x:v>125315.92</x:v>
      </x:c>
      <x:c r="G874" s="13" t="n">
        <x:v>32025</x:v>
      </x:c>
      <x:c r="H874" s="11" t="n">
        <x:v>67786.54</x:v>
      </x:c>
      <x:c r="I874" s="11" t="n">
        <x:v>122102.18</x:v>
      </x:c>
    </x:row>
    <x:row r="875">
      <x:c r="A875" t="n">
        <x:v>2023</x:v>
      </x:c>
      <x:c r="B875" t="str">
        <x:v>2023-12</x:v>
      </x:c>
      <x:c r="C875" t="str">
        <x:v>Sparkling</x:v>
      </x:c>
      <x:c r="D875" t="str">
        <x:v>Petrol</x:v>
      </x:c>
      <x:c r="E875" t="str">
        <x:v>VIC</x:v>
      </x:c>
      <x:c r="F875" s="11" t="n">
        <x:v>125503.2</x:v>
      </x:c>
      <x:c r="G875" s="13" t="n">
        <x:v>31902</x:v>
      </x:c>
      <x:c r="H875" s="11" t="n">
        <x:v>68393.3</x:v>
      </x:c>
      <x:c r="I875" s="11" t="n">
        <x:v>118407.96</x:v>
      </x:c>
    </x:row>
    <x:row r="876">
      <x:c r="A876" t="n">
        <x:v>2023</x:v>
      </x:c>
      <x:c r="B876" t="str">
        <x:v>2023-12</x:v>
      </x:c>
      <x:c r="C876" t="str">
        <x:v>Sports</x:v>
      </x:c>
      <x:c r="D876" t="str">
        <x:v>Convenience</x:v>
      </x:c>
      <x:c r="E876" t="str">
        <x:v>NSW</x:v>
      </x:c>
      <x:c r="F876" s="11" t="n">
        <x:v>80462.6</x:v>
      </x:c>
      <x:c r="G876" s="13" t="n">
        <x:v>16825</x:v>
      </x:c>
      <x:c r="H876" s="11" t="n">
        <x:v>41965.8</x:v>
      </x:c>
      <x:c r="I876" s="11" t="n">
        <x:v>76913.11</x:v>
      </x:c>
    </x:row>
    <x:row r="877">
      <x:c r="A877" t="n">
        <x:v>2023</x:v>
      </x:c>
      <x:c r="B877" t="str">
        <x:v>2023-12</x:v>
      </x:c>
      <x:c r="C877" t="str">
        <x:v>Sports</x:v>
      </x:c>
      <x:c r="D877" t="str">
        <x:v>Convenience</x:v>
      </x:c>
      <x:c r="E877" t="str">
        <x:v>QLD</x:v>
      </x:c>
      <x:c r="F877" s="11" t="n">
        <x:v>77841.44</x:v>
      </x:c>
      <x:c r="G877" s="13" t="n">
        <x:v>15883</x:v>
      </x:c>
      <x:c r="H877" s="11" t="n">
        <x:v>41842.84</x:v>
      </x:c>
      <x:c r="I877" s="11" t="n">
        <x:v>73949.26</x:v>
      </x:c>
    </x:row>
    <x:row r="878">
      <x:c r="A878" t="n">
        <x:v>2023</x:v>
      </x:c>
      <x:c r="B878" t="str">
        <x:v>2023-12</x:v>
      </x:c>
      <x:c r="C878" t="str">
        <x:v>Sports</x:v>
      </x:c>
      <x:c r="D878" t="str">
        <x:v>Convenience</x:v>
      </x:c>
      <x:c r="E878" t="str">
        <x:v>VIC</x:v>
      </x:c>
      <x:c r="F878" s="11" t="n">
        <x:v>72845.52</x:v>
      </x:c>
      <x:c r="G878" s="13" t="n">
        <x:v>15249</x:v>
      </x:c>
      <x:c r="H878" s="11" t="n">
        <x:v>38353.03</x:v>
      </x:c>
      <x:c r="I878" s="11" t="n">
        <x:v>71714.38</x:v>
      </x:c>
    </x:row>
    <x:row r="879">
      <x:c r="A879" t="n">
        <x:v>2023</x:v>
      </x:c>
      <x:c r="B879" t="str">
        <x:v>2023-12</x:v>
      </x:c>
      <x:c r="C879" t="str">
        <x:v>Sports</x:v>
      </x:c>
      <x:c r="D879" t="str">
        <x:v>Grocery</x:v>
      </x:c>
      <x:c r="E879" t="str">
        <x:v>NSW</x:v>
      </x:c>
      <x:c r="F879" s="11" t="n">
        <x:v>190751.05</x:v>
      </x:c>
      <x:c r="G879" s="13" t="n">
        <x:v>44001</x:v>
      </x:c>
      <x:c r="H879" s="11" t="n">
        <x:v>89988.88</x:v>
      </x:c>
      <x:c r="I879" s="11" t="n">
        <x:v>190826.63</x:v>
      </x:c>
    </x:row>
    <x:row r="880">
      <x:c r="A880" t="n">
        <x:v>2023</x:v>
      </x:c>
      <x:c r="B880" t="str">
        <x:v>2023-12</x:v>
      </x:c>
      <x:c r="C880" t="str">
        <x:v>Sports</x:v>
      </x:c>
      <x:c r="D880" t="str">
        <x:v>Grocery</x:v>
      </x:c>
      <x:c r="E880" t="str">
        <x:v>QLD</x:v>
      </x:c>
      <x:c r="F880" s="11" t="n">
        <x:v>193014.04</x:v>
      </x:c>
      <x:c r="G880" s="13" t="n">
        <x:v>46314</x:v>
      </x:c>
      <x:c r="H880" s="11" t="n">
        <x:v>86740.83</x:v>
      </x:c>
      <x:c r="I880" s="11" t="n">
        <x:v>183495.69</x:v>
      </x:c>
    </x:row>
    <x:row r="881">
      <x:c r="A881" t="n">
        <x:v>2023</x:v>
      </x:c>
      <x:c r="B881" t="str">
        <x:v>2023-12</x:v>
      </x:c>
      <x:c r="C881" t="str">
        <x:v>Sports</x:v>
      </x:c>
      <x:c r="D881" t="str">
        <x:v>Grocery</x:v>
      </x:c>
      <x:c r="E881" t="str">
        <x:v>VIC</x:v>
      </x:c>
      <x:c r="F881" s="11" t="n">
        <x:v>187126.53</x:v>
      </x:c>
      <x:c r="G881" s="13" t="n">
        <x:v>44164</x:v>
      </x:c>
      <x:c r="H881" s="11" t="n">
        <x:v>85577.02</x:v>
      </x:c>
      <x:c r="I881" s="11" t="n">
        <x:v>178019.91</x:v>
      </x:c>
    </x:row>
    <x:row r="882">
      <x:c r="A882" t="n">
        <x:v>2023</x:v>
      </x:c>
      <x:c r="B882" t="str">
        <x:v>2023-12</x:v>
      </x:c>
      <x:c r="C882" t="str">
        <x:v>Sports</x:v>
      </x:c>
      <x:c r="D882" t="str">
        <x:v>Hospitality</x:v>
      </x:c>
      <x:c r="E882" t="str">
        <x:v>NSW</x:v>
      </x:c>
      <x:c r="F882" s="11" t="n">
        <x:v>24758.85</x:v>
      </x:c>
      <x:c r="G882" s="13" t="n">
        <x:v>6335</x:v>
      </x:c>
      <x:c r="H882" s="11" t="n">
        <x:v>10164.65</x:v>
      </x:c>
      <x:c r="I882" s="11" t="n">
        <x:v>23876.09</x:v>
      </x:c>
    </x:row>
    <x:row r="883">
      <x:c r="A883" t="n">
        <x:v>2023</x:v>
      </x:c>
      <x:c r="B883" t="str">
        <x:v>2023-12</x:v>
      </x:c>
      <x:c r="C883" t="str">
        <x:v>Sports</x:v>
      </x:c>
      <x:c r="D883" t="str">
        <x:v>Hospitality</x:v>
      </x:c>
      <x:c r="E883" t="str">
        <x:v>QLD</x:v>
      </x:c>
      <x:c r="F883" s="11" t="n">
        <x:v>23886.22</x:v>
      </x:c>
      <x:c r="G883" s="13" t="n">
        <x:v>6387</x:v>
      </x:c>
      <x:c r="H883" s="11" t="n">
        <x:v>9463.74</x:v>
      </x:c>
      <x:c r="I883" s="11" t="n">
        <x:v>22976.56</x:v>
      </x:c>
    </x:row>
    <x:row r="884">
      <x:c r="A884" t="n">
        <x:v>2023</x:v>
      </x:c>
      <x:c r="B884" t="str">
        <x:v>2023-12</x:v>
      </x:c>
      <x:c r="C884" t="str">
        <x:v>Sports</x:v>
      </x:c>
      <x:c r="D884" t="str">
        <x:v>Hospitality</x:v>
      </x:c>
      <x:c r="E884" t="str">
        <x:v>VIC</x:v>
      </x:c>
      <x:c r="F884" s="11" t="n">
        <x:v>24035.45</x:v>
      </x:c>
      <x:c r="G884" s="13" t="n">
        <x:v>6278</x:v>
      </x:c>
      <x:c r="H884" s="11" t="n">
        <x:v>9642.31</x:v>
      </x:c>
      <x:c r="I884" s="11" t="n">
        <x:v>22277.15</x:v>
      </x:c>
    </x:row>
    <x:row r="885">
      <x:c r="A885" t="n">
        <x:v>2023</x:v>
      </x:c>
      <x:c r="B885" t="str">
        <x:v>2023-12</x:v>
      </x:c>
      <x:c r="C885" t="str">
        <x:v>Sports</x:v>
      </x:c>
      <x:c r="D885" t="str">
        <x:v>Independent retail</x:v>
      </x:c>
      <x:c r="E885" t="str">
        <x:v>NSW</x:v>
      </x:c>
      <x:c r="F885" s="11" t="n">
        <x:v>67941.54</x:v>
      </x:c>
      <x:c r="G885" s="13" t="n">
        <x:v>15773</x:v>
      </x:c>
      <x:c r="H885" s="11" t="n">
        <x:v>31906.91</x:v>
      </x:c>
      <x:c r="I885" s="11" t="n">
        <x:v>64887.83</x:v>
      </x:c>
    </x:row>
    <x:row r="886">
      <x:c r="A886" t="n">
        <x:v>2023</x:v>
      </x:c>
      <x:c r="B886" t="str">
        <x:v>2023-12</x:v>
      </x:c>
      <x:c r="C886" t="str">
        <x:v>Sports</x:v>
      </x:c>
      <x:c r="D886" t="str">
        <x:v>Independent retail</x:v>
      </x:c>
      <x:c r="E886" t="str">
        <x:v>QLD</x:v>
      </x:c>
      <x:c r="F886" s="11" t="n">
        <x:v>63697</x:v>
      </x:c>
      <x:c r="G886" s="13" t="n">
        <x:v>14375</x:v>
      </x:c>
      <x:c r="H886" s="11" t="n">
        <x:v>31205.26</x:v>
      </x:c>
      <x:c r="I886" s="11" t="n">
        <x:v>62390.91</x:v>
      </x:c>
    </x:row>
    <x:row r="887">
      <x:c r="A887" t="n">
        <x:v>2023</x:v>
      </x:c>
      <x:c r="B887" t="str">
        <x:v>2023-12</x:v>
      </x:c>
      <x:c r="C887" t="str">
        <x:v>Sports</x:v>
      </x:c>
      <x:c r="D887" t="str">
        <x:v>Independent retail</x:v>
      </x:c>
      <x:c r="E887" t="str">
        <x:v>VIC</x:v>
      </x:c>
      <x:c r="F887" s="11" t="n">
        <x:v>64266.26</x:v>
      </x:c>
      <x:c r="G887" s="13" t="n">
        <x:v>14646</x:v>
      </x:c>
      <x:c r="H887" s="11" t="n">
        <x:v>30779.49</x:v>
      </x:c>
      <x:c r="I887" s="11" t="n">
        <x:v>60525.28</x:v>
      </x:c>
    </x:row>
    <x:row r="888">
      <x:c r="A888" t="n">
        <x:v>2023</x:v>
      </x:c>
      <x:c r="B888" t="str">
        <x:v>2023-12</x:v>
      </x:c>
      <x:c r="C888" t="str">
        <x:v>Sports</x:v>
      </x:c>
      <x:c r="D888" t="str">
        <x:v>Petrol</x:v>
      </x:c>
      <x:c r="E888" t="str">
        <x:v>NSW</x:v>
      </x:c>
      <x:c r="F888" s="11" t="n">
        <x:v>72177.74</x:v>
      </x:c>
      <x:c r="G888" s="13" t="n">
        <x:v>15045</x:v>
      </x:c>
      <x:c r="H888" s="11" t="n">
        <x:v>38289.64</x:v>
      </x:c>
      <x:c r="I888" s="11" t="n">
        <x:v>70304.91</x:v>
      </x:c>
    </x:row>
    <x:row r="889">
      <x:c r="A889" t="n">
        <x:v>2023</x:v>
      </x:c>
      <x:c r="B889" t="str">
        <x:v>2023-12</x:v>
      </x:c>
      <x:c r="C889" t="str">
        <x:v>Sports</x:v>
      </x:c>
      <x:c r="D889" t="str">
        <x:v>Petrol</x:v>
      </x:c>
      <x:c r="E889" t="str">
        <x:v>QLD</x:v>
      </x:c>
      <x:c r="F889" s="11" t="n">
        <x:v>68450.88</x:v>
      </x:c>
      <x:c r="G889" s="13" t="n">
        <x:v>13901</x:v>
      </x:c>
      <x:c r="H889" s="11" t="n">
        <x:v>36189.54</x:v>
      </x:c>
      <x:c r="I889" s="11" t="n">
        <x:v>67601.01</x:v>
      </x:c>
    </x:row>
    <x:row r="890">
      <x:c r="A890" t="n">
        <x:v>2023</x:v>
      </x:c>
      <x:c r="B890" t="str">
        <x:v>2023-12</x:v>
      </x:c>
      <x:c r="C890" t="str">
        <x:v>Sports</x:v>
      </x:c>
      <x:c r="D890" t="str">
        <x:v>Petrol</x:v>
      </x:c>
      <x:c r="E890" t="str">
        <x:v>VIC</x:v>
      </x:c>
      <x:c r="F890" s="11" t="n">
        <x:v>67817.36</x:v>
      </x:c>
      <x:c r="G890" s="13" t="n">
        <x:v>13884</x:v>
      </x:c>
      <x:c r="H890" s="11" t="n">
        <x:v>36238.94</x:v>
      </x:c>
      <x:c r="I890" s="11" t="n">
        <x:v>65559.91</x:v>
      </x:c>
    </x:row>
    <x:row r="891">
      <x:c r="A891" t="n">
        <x:v>2023</x:v>
      </x:c>
      <x:c r="B891" t="str">
        <x:v>2023-12</x:v>
      </x:c>
      <x:c r="C891" t="str">
        <x:v>Water</x:v>
      </x:c>
      <x:c r="D891" t="str">
        <x:v>Convenience</x:v>
      </x:c>
      <x:c r="E891" t="str">
        <x:v>NSW</x:v>
      </x:c>
      <x:c r="F891" s="11" t="n">
        <x:v>96680.94</x:v>
      </x:c>
      <x:c r="G891" s="13" t="n">
        <x:v>30248</x:v>
      </x:c>
      <x:c r="H891" s="11" t="n">
        <x:v>49042.3</x:v>
      </x:c>
      <x:c r="I891" s="11" t="n">
        <x:v>91560.92</x:v>
      </x:c>
    </x:row>
    <x:row r="892">
      <x:c r="A892" t="n">
        <x:v>2023</x:v>
      </x:c>
      <x:c r="B892" t="str">
        <x:v>2023-12</x:v>
      </x:c>
      <x:c r="C892" t="str">
        <x:v>Water</x:v>
      </x:c>
      <x:c r="D892" t="str">
        <x:v>Convenience</x:v>
      </x:c>
      <x:c r="E892" t="str">
        <x:v>QLD</x:v>
      </x:c>
      <x:c r="F892" s="11" t="n">
        <x:v>90041.16</x:v>
      </x:c>
      <x:c r="G892" s="13" t="n">
        <x:v>29159</x:v>
      </x:c>
      <x:c r="H892" s="11" t="n">
        <x:v>44229.72</x:v>
      </x:c>
      <x:c r="I892" s="11" t="n">
        <x:v>88054.99</x:v>
      </x:c>
    </x:row>
    <x:row r="893">
      <x:c r="A893" t="n">
        <x:v>2023</x:v>
      </x:c>
      <x:c r="B893" t="str">
        <x:v>2023-12</x:v>
      </x:c>
      <x:c r="C893" t="str">
        <x:v>Water</x:v>
      </x:c>
      <x:c r="D893" t="str">
        <x:v>Convenience</x:v>
      </x:c>
      <x:c r="E893" t="str">
        <x:v>VIC</x:v>
      </x:c>
      <x:c r="F893" s="11" t="n">
        <x:v>88360.64</x:v>
      </x:c>
      <x:c r="G893" s="13" t="n">
        <x:v>28122</x:v>
      </x:c>
      <x:c r="H893" s="11" t="n">
        <x:v>44360.159999999996</x:v>
      </x:c>
      <x:c r="I893" s="11" t="n">
        <x:v>85410.8</x:v>
      </x:c>
    </x:row>
    <x:row r="894">
      <x:c r="A894" t="n">
        <x:v>2023</x:v>
      </x:c>
      <x:c r="B894" t="str">
        <x:v>2023-12</x:v>
      </x:c>
      <x:c r="C894" t="str">
        <x:v>Water</x:v>
      </x:c>
      <x:c r="D894" t="str">
        <x:v>Grocery</x:v>
      </x:c>
      <x:c r="E894" t="str">
        <x:v>NSW</x:v>
      </x:c>
      <x:c r="F894" s="11" t="n">
        <x:v>231790.03</x:v>
      </x:c>
      <x:c r="G894" s="13" t="n">
        <x:v>89489</x:v>
      </x:c>
      <x:c r="H894" s="11" t="n">
        <x:v>92695.35</x:v>
      </x:c>
      <x:c r="I894" s="11" t="n">
        <x:v>228519.48</x:v>
      </x:c>
    </x:row>
    <x:row r="895">
      <x:c r="A895" t="n">
        <x:v>2023</x:v>
      </x:c>
      <x:c r="B895" t="str">
        <x:v>2023-12</x:v>
      </x:c>
      <x:c r="C895" t="str">
        <x:v>Water</x:v>
      </x:c>
      <x:c r="D895" t="str">
        <x:v>Grocery</x:v>
      </x:c>
      <x:c r="E895" t="str">
        <x:v>QLD</x:v>
      </x:c>
      <x:c r="F895" s="11" t="n">
        <x:v>229912.73</x:v>
      </x:c>
      <x:c r="G895" s="13" t="n">
        <x:v>84734</x:v>
      </x:c>
      <x:c r="H895" s="11" t="n">
        <x:v>97396.65</x:v>
      </x:c>
      <x:c r="I895" s="11" t="n">
        <x:v>219725.42</x:v>
      </x:c>
    </x:row>
    <x:row r="896">
      <x:c r="A896" t="n">
        <x:v>2023</x:v>
      </x:c>
      <x:c r="B896" t="str">
        <x:v>2023-12</x:v>
      </x:c>
      <x:c r="C896" t="str">
        <x:v>Water</x:v>
      </x:c>
      <x:c r="D896" t="str">
        <x:v>Grocery</x:v>
      </x:c>
      <x:c r="E896" t="str">
        <x:v>VIC</x:v>
      </x:c>
      <x:c r="F896" s="11" t="n">
        <x:v>219658.8</x:v>
      </x:c>
      <x:c r="G896" s="13" t="n">
        <x:v>82908</x:v>
      </x:c>
      <x:c r="H896" s="11" t="n">
        <x:v>90499.12</x:v>
      </x:c>
      <x:c r="I896" s="11" t="n">
        <x:v>213146.16</x:v>
      </x:c>
    </x:row>
    <x:row r="897">
      <x:c r="A897" t="n">
        <x:v>2023</x:v>
      </x:c>
      <x:c r="B897" t="str">
        <x:v>2023-12</x:v>
      </x:c>
      <x:c r="C897" t="str">
        <x:v>Water</x:v>
      </x:c>
      <x:c r="D897" t="str">
        <x:v>Hospitality</x:v>
      </x:c>
      <x:c r="E897" t="str">
        <x:v>NSW</x:v>
      </x:c>
      <x:c r="F897" s="11" t="n">
        <x:v>29706.51</x:v>
      </x:c>
      <x:c r="G897" s="13" t="n">
        <x:v>12189</x:v>
      </x:c>
      <x:c r="H897" s="11" t="n">
        <x:v>10703.63</x:v>
      </x:c>
      <x:c r="I897" s="11" t="n">
        <x:v>28576.420000000002</x:v>
      </x:c>
    </x:row>
    <x:row r="898">
      <x:c r="A898" t="n">
        <x:v>2023</x:v>
      </x:c>
      <x:c r="B898" t="str">
        <x:v>2023-12</x:v>
      </x:c>
      <x:c r="C898" t="str">
        <x:v>Water</x:v>
      </x:c>
      <x:c r="D898" t="str">
        <x:v>Hospitality</x:v>
      </x:c>
      <x:c r="E898" t="str">
        <x:v>QLD</x:v>
      </x:c>
      <x:c r="F898" s="11" t="n">
        <x:v>28404.95</x:v>
      </x:c>
      <x:c r="G898" s="13" t="n">
        <x:v>11149</x:v>
      </x:c>
      <x:c r="H898" s="11" t="n">
        <x:v>10765.19</x:v>
      </x:c>
      <x:c r="I898" s="11" t="n">
        <x:v>27472.38</x:v>
      </x:c>
    </x:row>
    <x:row r="899">
      <x:c r="A899" t="n">
        <x:v>2023</x:v>
      </x:c>
      <x:c r="B899" t="str">
        <x:v>2023-12</x:v>
      </x:c>
      <x:c r="C899" t="str">
        <x:v>Water</x:v>
      </x:c>
      <x:c r="D899" t="str">
        <x:v>Hospitality</x:v>
      </x:c>
      <x:c r="E899" t="str">
        <x:v>VIC</x:v>
      </x:c>
      <x:c r="F899" s="11" t="n">
        <x:v>27811.87</x:v>
      </x:c>
      <x:c r="G899" s="13" t="n">
        <x:v>11225</x:v>
      </x:c>
      <x:c r="H899" s="11" t="n">
        <x:v>10350.31</x:v>
      </x:c>
      <x:c r="I899" s="11" t="n">
        <x:v>26644.25</x:v>
      </x:c>
    </x:row>
    <x:row r="900">
      <x:c r="A900" t="n">
        <x:v>2023</x:v>
      </x:c>
      <x:c r="B900" t="str">
        <x:v>2023-12</x:v>
      </x:c>
      <x:c r="C900" t="str">
        <x:v>Water</x:v>
      </x:c>
      <x:c r="D900" t="str">
        <x:v>Independent retail</x:v>
      </x:c>
      <x:c r="E900" t="str">
        <x:v>NSW</x:v>
      </x:c>
      <x:c r="F900" s="11" t="n">
        <x:v>78221.21</x:v>
      </x:c>
      <x:c r="G900" s="13" t="n">
        <x:v>27795</x:v>
      </x:c>
      <x:c r="H900" s="11" t="n">
        <x:v>34471.21</x:v>
      </x:c>
      <x:c r="I900" s="11" t="n">
        <x:v>77681.33</x:v>
      </x:c>
    </x:row>
    <x:row r="901">
      <x:c r="A901" t="n">
        <x:v>2023</x:v>
      </x:c>
      <x:c r="B901" t="str">
        <x:v>2023-12</x:v>
      </x:c>
      <x:c r="C901" t="str">
        <x:v>Water</x:v>
      </x:c>
      <x:c r="D901" t="str">
        <x:v>Independent retail</x:v>
      </x:c>
      <x:c r="E901" t="str">
        <x:v>QLD</x:v>
      </x:c>
      <x:c r="F901" s="11" t="n">
        <x:v>75695.09</x:v>
      </x:c>
      <x:c r="G901" s="13" t="n">
        <x:v>27959</x:v>
      </x:c>
      <x:c r="H901" s="11" t="n">
        <x:v>31600.77</x:v>
      </x:c>
      <x:c r="I901" s="11" t="n">
        <x:v>74689.82</x:v>
      </x:c>
    </x:row>
    <x:row r="902">
      <x:c r="A902" t="n">
        <x:v>2023</x:v>
      </x:c>
      <x:c r="B902" t="str">
        <x:v>2023-12</x:v>
      </x:c>
      <x:c r="C902" t="str">
        <x:v>Water</x:v>
      </x:c>
      <x:c r="D902" t="str">
        <x:v>Independent retail</x:v>
      </x:c>
      <x:c r="E902" t="str">
        <x:v>VIC</x:v>
      </x:c>
      <x:c r="F902" s="11" t="n">
        <x:v>74551.3</x:v>
      </x:c>
      <x:c r="G902" s="13" t="n">
        <x:v>26686</x:v>
      </x:c>
      <x:c r="H902" s="11" t="n">
        <x:v>31798.7</x:v>
      </x:c>
      <x:c r="I902" s="11" t="n">
        <x:v>72449.18</x:v>
      </x:c>
    </x:row>
    <x:row r="903">
      <x:c r="A903" t="n">
        <x:v>2023</x:v>
      </x:c>
      <x:c r="B903" t="str">
        <x:v>2023-12</x:v>
      </x:c>
      <x:c r="C903" t="str">
        <x:v>Water</x:v>
      </x:c>
      <x:c r="D903" t="str">
        <x:v>Petrol</x:v>
      </x:c>
      <x:c r="E903" t="str">
        <x:v>NSW</x:v>
      </x:c>
      <x:c r="F903" s="11" t="n">
        <x:v>87895.37</x:v>
      </x:c>
      <x:c r="G903" s="13" t="n">
        <x:v>29766</x:v>
      </x:c>
      <x:c r="H903" s="11" t="n">
        <x:v>40799.77</x:v>
      </x:c>
      <x:c r="I903" s="11" t="n">
        <x:v>83642.48</x:v>
      </x:c>
    </x:row>
    <x:row r="904">
      <x:c r="A904" t="n">
        <x:v>2023</x:v>
      </x:c>
      <x:c r="B904" t="str">
        <x:v>2023-12</x:v>
      </x:c>
      <x:c r="C904" t="str">
        <x:v>Water</x:v>
      </x:c>
      <x:c r="D904" t="str">
        <x:v>Petrol</x:v>
      </x:c>
      <x:c r="E904" t="str">
        <x:v>QLD</x:v>
      </x:c>
      <x:c r="F904" s="11" t="n">
        <x:v>83504.14</x:v>
      </x:c>
      <x:c r="G904" s="13" t="n">
        <x:v>28545</x:v>
      </x:c>
      <x:c r="H904" s="11" t="n">
        <x:v>38835.46</x:v>
      </x:c>
      <x:c r="I904" s="11" t="n">
        <x:v>80416.56</x:v>
      </x:c>
    </x:row>
    <x:row r="905">
      <x:c r="A905" t="n">
        <x:v>2023</x:v>
      </x:c>
      <x:c r="B905" t="str">
        <x:v>2023-12</x:v>
      </x:c>
      <x:c r="C905" t="str">
        <x:v>Water</x:v>
      </x:c>
      <x:c r="D905" t="str">
        <x:v>Petrol</x:v>
      </x:c>
      <x:c r="E905" t="str">
        <x:v>VIC</x:v>
      </x:c>
      <x:c r="F905" s="11" t="n">
        <x:v>82773.11</x:v>
      </x:c>
      <x:c r="G905" s="13" t="n">
        <x:v>28107</x:v>
      </x:c>
      <x:c r="H905" s="11" t="n">
        <x:v>38255.31</x:v>
      </x:c>
      <x:c r="I905" s="11" t="n">
        <x:v>78014.03</x:v>
      </x:c>
    </x:row>
    <x:row r="906">
      <x:c r="A906" t="n">
        <x:v>2024</x:v>
      </x:c>
      <x:c r="B906" t="str">
        <x:v>2024-01</x:v>
      </x:c>
      <x:c r="C906" t="str">
        <x:v>Coffee</x:v>
      </x:c>
      <x:c r="D906" t="str">
        <x:v>Convenience</x:v>
      </x:c>
      <x:c r="E906" t="str">
        <x:v>NSW</x:v>
      </x:c>
      <x:c r="F906" s="11" t="n">
        <x:v>25217.49</x:v>
      </x:c>
      <x:c r="G906" s="13" t="n">
        <x:v>5010</x:v>
      </x:c>
      <x:c r="H906" s="11" t="n">
        <x:v>10223.54</x:v>
      </x:c>
      <x:c r="I906" s="11" t="n">
        <x:v>34915.4</x:v>
      </x:c>
    </x:row>
    <x:row r="907">
      <x:c r="A907" t="n">
        <x:v>2024</x:v>
      </x:c>
      <x:c r="B907" t="str">
        <x:v>2024-01</x:v>
      </x:c>
      <x:c r="C907" t="str">
        <x:v>Coffee</x:v>
      </x:c>
      <x:c r="D907" t="str">
        <x:v>Convenience</x:v>
      </x:c>
      <x:c r="E907" t="str">
        <x:v>QLD</x:v>
      </x:c>
      <x:c r="F907" s="11" t="n">
        <x:v>23929.12</x:v>
      </x:c>
      <x:c r="G907" s="13" t="n">
        <x:v>4614</x:v>
      </x:c>
      <x:c r="H907" s="11" t="n">
        <x:v>10174.08</x:v>
      </x:c>
      <x:c r="I907" s="11" t="n">
        <x:v>33575.2</x:v>
      </x:c>
    </x:row>
    <x:row r="908">
      <x:c r="A908" t="n">
        <x:v>2024</x:v>
      </x:c>
      <x:c r="B908" t="str">
        <x:v>2024-01</x:v>
      </x:c>
      <x:c r="C908" t="str">
        <x:v>Coffee</x:v>
      </x:c>
      <x:c r="D908" t="str">
        <x:v>Convenience</x:v>
      </x:c>
      <x:c r="E908" t="str">
        <x:v>VIC</x:v>
      </x:c>
      <x:c r="F908" s="11" t="n">
        <x:v>24019.93</x:v>
      </x:c>
      <x:c r="G908" s="13" t="n">
        <x:v>4779</x:v>
      </x:c>
      <x:c r="H908" s="11" t="n">
        <x:v>9802.45</x:v>
      </x:c>
      <x:c r="I908" s="11" t="n">
        <x:v>32707.04</x:v>
      </x:c>
    </x:row>
    <x:row r="909">
      <x:c r="A909" t="n">
        <x:v>2024</x:v>
      </x:c>
      <x:c r="B909" t="str">
        <x:v>2024-01</x:v>
      </x:c>
      <x:c r="C909" t="str">
        <x:v>Coffee</x:v>
      </x:c>
      <x:c r="D909" t="str">
        <x:v>Grocery</x:v>
      </x:c>
      <x:c r="E909" t="str">
        <x:v>NSW</x:v>
      </x:c>
      <x:c r="F909" s="11" t="n">
        <x:v>63607.32</x:v>
      </x:c>
      <x:c r="G909" s="13" t="n">
        <x:v>13861</x:v>
      </x:c>
      <x:c r="H909" s="11" t="n">
        <x:v>21867.54</x:v>
      </x:c>
      <x:c r="I909" s="11" t="n">
        <x:v>86760.06999999999</x:v>
      </x:c>
    </x:row>
    <x:row r="910">
      <x:c r="A910" t="n">
        <x:v>2024</x:v>
      </x:c>
      <x:c r="B910" t="str">
        <x:v>2024-01</x:v>
      </x:c>
      <x:c r="C910" t="str">
        <x:v>Coffee</x:v>
      </x:c>
      <x:c r="D910" t="str">
        <x:v>Grocery</x:v>
      </x:c>
      <x:c r="E910" t="str">
        <x:v>QLD</x:v>
      </x:c>
      <x:c r="F910" s="11" t="n">
        <x:v>59926.39</x:v>
      </x:c>
      <x:c r="G910" s="13" t="n">
        <x:v>13753</x:v>
      </x:c>
      <x:c r="H910" s="11" t="n">
        <x:v>18888.8</x:v>
      </x:c>
      <x:c r="I910" s="11" t="n">
        <x:v>83467.93000000001</x:v>
      </x:c>
    </x:row>
    <x:row r="911">
      <x:c r="A911" t="n">
        <x:v>2024</x:v>
      </x:c>
      <x:c r="B911" t="str">
        <x:v>2024-01</x:v>
      </x:c>
      <x:c r="C911" t="str">
        <x:v>Coffee</x:v>
      </x:c>
      <x:c r="D911" t="str">
        <x:v>Grocery</x:v>
      </x:c>
      <x:c r="E911" t="str">
        <x:v>VIC</x:v>
      </x:c>
      <x:c r="F911" s="11" t="n">
        <x:v>58815.86</x:v>
      </x:c>
      <x:c r="G911" s="13" t="n">
        <x:v>13226</x:v>
      </x:c>
      <x:c r="H911" s="11" t="n">
        <x:v>19196.08</x:v>
      </x:c>
      <x:c r="I911" s="11" t="n">
        <x:v>80971.25</x:v>
      </x:c>
    </x:row>
    <x:row r="912">
      <x:c r="A912" t="n">
        <x:v>2024</x:v>
      </x:c>
      <x:c r="B912" t="str">
        <x:v>2024-01</x:v>
      </x:c>
      <x:c r="C912" t="str">
        <x:v>Coffee</x:v>
      </x:c>
      <x:c r="D912" t="str">
        <x:v>Hospitality</x:v>
      </x:c>
      <x:c r="E912" t="str">
        <x:v>NSW</x:v>
      </x:c>
      <x:c r="F912" s="11" t="n">
        <x:v>7884.06</x:v>
      </x:c>
      <x:c r="G912" s="13" t="n">
        <x:v>1898</x:v>
      </x:c>
      <x:c r="H912" s="11" t="n">
        <x:v>2119.63</x:v>
      </x:c>
      <x:c r="I912" s="11" t="n">
        <x:v>10832.33</x:v>
      </x:c>
    </x:row>
    <x:row r="913">
      <x:c r="A913" t="n">
        <x:v>2024</x:v>
      </x:c>
      <x:c r="B913" t="str">
        <x:v>2024-01</x:v>
      </x:c>
      <x:c r="C913" t="str">
        <x:v>Coffee</x:v>
      </x:c>
      <x:c r="D913" t="str">
        <x:v>Hospitality</x:v>
      </x:c>
      <x:c r="E913" t="str">
        <x:v>QLD</x:v>
      </x:c>
      <x:c r="F913" s="11" t="n">
        <x:v>7540.7300000000005</x:v>
      </x:c>
      <x:c r="G913" s="13" t="n">
        <x:v>1878</x:v>
      </x:c>
      <x:c r="H913" s="11" t="n">
        <x:v>1894.77</x:v>
      </x:c>
      <x:c r="I913" s="11" t="n">
        <x:v>10425.3</x:v>
      </x:c>
    </x:row>
    <x:row r="914">
      <x:c r="A914" t="n">
        <x:v>2024</x:v>
      </x:c>
      <x:c r="B914" t="str">
        <x:v>2024-01</x:v>
      </x:c>
      <x:c r="C914" t="str">
        <x:v>Coffee</x:v>
      </x:c>
      <x:c r="D914" t="str">
        <x:v>Hospitality</x:v>
      </x:c>
      <x:c r="E914" t="str">
        <x:v>VIC</x:v>
      </x:c>
      <x:c r="F914" s="11" t="n">
        <x:v>7560.78</x:v>
      </x:c>
      <x:c r="G914" s="13" t="n">
        <x:v>1872</x:v>
      </x:c>
      <x:c r="H914" s="11" t="n">
        <x:v>1914.51</x:v>
      </x:c>
      <x:c r="I914" s="11" t="n">
        <x:v>10031.36</x:v>
      </x:c>
    </x:row>
    <x:row r="915">
      <x:c r="A915" t="n">
        <x:v>2024</x:v>
      </x:c>
      <x:c r="B915" t="str">
        <x:v>2024-01</x:v>
      </x:c>
      <x:c r="C915" t="str">
        <x:v>Coffee</x:v>
      </x:c>
      <x:c r="D915" t="str">
        <x:v>Independent retail</x:v>
      </x:c>
      <x:c r="E915" t="str">
        <x:v>NSW</x:v>
      </x:c>
      <x:c r="F915" s="11" t="n">
        <x:v>21383.67</x:v>
      </x:c>
      <x:c r="G915" s="13" t="n">
        <x:v>4784</x:v>
      </x:c>
      <x:c r="H915" s="11" t="n">
        <x:v>7113.84</x:v>
      </x:c>
      <x:c r="I915" s="11" t="n">
        <x:v>29469.22</x:v>
      </x:c>
    </x:row>
    <x:row r="916">
      <x:c r="A916" t="n">
        <x:v>2024</x:v>
      </x:c>
      <x:c r="B916" t="str">
        <x:v>2024-01</x:v>
      </x:c>
      <x:c r="C916" t="str">
        <x:v>Coffee</x:v>
      </x:c>
      <x:c r="D916" t="str">
        <x:v>Independent retail</x:v>
      </x:c>
      <x:c r="E916" t="str">
        <x:v>QLD</x:v>
      </x:c>
      <x:c r="F916" s="11" t="n">
        <x:v>21406.86</x:v>
      </x:c>
      <x:c r="G916" s="13" t="n">
        <x:v>4555</x:v>
      </x:c>
      <x:c r="H916" s="11" t="n">
        <x:v>7841.44</x:v>
      </x:c>
      <x:c r="I916" s="11" t="n">
        <x:v>28345.27</x:v>
      </x:c>
    </x:row>
    <x:row r="917">
      <x:c r="A917" t="n">
        <x:v>2024</x:v>
      </x:c>
      <x:c r="B917" t="str">
        <x:v>2024-01</x:v>
      </x:c>
      <x:c r="C917" t="str">
        <x:v>Coffee</x:v>
      </x:c>
      <x:c r="D917" t="str">
        <x:v>Independent retail</x:v>
      </x:c>
      <x:c r="E917" t="str">
        <x:v>VIC</x:v>
      </x:c>
      <x:c r="F917" s="11" t="n">
        <x:v>19912.75</x:v>
      </x:c>
      <x:c r="G917" s="13" t="n">
        <x:v>4298</x:v>
      </x:c>
      <x:c r="H917" s="11" t="n">
        <x:v>7027.57</x:v>
      </x:c>
      <x:c r="I917" s="11" t="n">
        <x:v>27455.37</x:v>
      </x:c>
    </x:row>
    <x:row r="918">
      <x:c r="A918" t="n">
        <x:v>2024</x:v>
      </x:c>
      <x:c r="B918" t="str">
        <x:v>2024-01</x:v>
      </x:c>
      <x:c r="C918" t="str">
        <x:v>Coffee</x:v>
      </x:c>
      <x:c r="D918" t="str">
        <x:v>Petrol</x:v>
      </x:c>
      <x:c r="E918" t="str">
        <x:v>NSW</x:v>
      </x:c>
      <x:c r="F918" s="11" t="n">
        <x:v>23813.64</x:v>
      </x:c>
      <x:c r="G918" s="13" t="n">
        <x:v>4636</x:v>
      </x:c>
      <x:c r="H918" s="11" t="n">
        <x:v>9950.16</x:v>
      </x:c>
      <x:c r="I918" s="11" t="n">
        <x:v>31806.51</x:v>
      </x:c>
    </x:row>
    <x:row r="919">
      <x:c r="A919" t="n">
        <x:v>2024</x:v>
      </x:c>
      <x:c r="B919" t="str">
        <x:v>2024-01</x:v>
      </x:c>
      <x:c r="C919" t="str">
        <x:v>Coffee</x:v>
      </x:c>
      <x:c r="D919" t="str">
        <x:v>Petrol</x:v>
      </x:c>
      <x:c r="E919" t="str">
        <x:v>QLD</x:v>
      </x:c>
      <x:c r="F919" s="11" t="n">
        <x:v>21993.45</x:v>
      </x:c>
      <x:c r="G919" s="13" t="n">
        <x:v>4278</x:v>
      </x:c>
      <x:c r="H919" s="11" t="n">
        <x:v>9117.49</x:v>
      </x:c>
      <x:c r="I919" s="11" t="n">
        <x:v>30540.329999999998</x:v>
      </x:c>
    </x:row>
    <x:row r="920">
      <x:c r="A920" t="n">
        <x:v>2024</x:v>
      </x:c>
      <x:c r="B920" t="str">
        <x:v>2024-01</x:v>
      </x:c>
      <x:c r="C920" t="str">
        <x:v>Coffee</x:v>
      </x:c>
      <x:c r="D920" t="str">
        <x:v>Petrol</x:v>
      </x:c>
      <x:c r="E920" t="str">
        <x:v>VIC</x:v>
      </x:c>
      <x:c r="F920" s="11" t="n">
        <x:v>22028.88</x:v>
      </x:c>
      <x:c r="G920" s="13" t="n">
        <x:v>4227</x:v>
      </x:c>
      <x:c r="H920" s="11" t="n">
        <x:v>9346.01</x:v>
      </x:c>
      <x:c r="I920" s="11" t="n">
        <x:v>29516.96</x:v>
      </x:c>
    </x:row>
    <x:row r="921">
      <x:c r="A921" t="n">
        <x:v>2024</x:v>
      </x:c>
      <x:c r="B921" t="str">
        <x:v>2024-01</x:v>
      </x:c>
      <x:c r="C921" t="str">
        <x:v>Energy</x:v>
      </x:c>
      <x:c r="D921" t="str">
        <x:v>Convenience</x:v>
      </x:c>
      <x:c r="E921" t="str">
        <x:v>NSW</x:v>
      </x:c>
      <x:c r="F921" s="11" t="n">
        <x:v>96028.01</x:v>
      </x:c>
      <x:c r="G921" s="13" t="n">
        <x:v>17579</x:v>
      </x:c>
      <x:c r="H921" s="11" t="n">
        <x:v>57617.86</x:v>
      </x:c>
      <x:c r="I921" s="11" t="n">
        <x:v>128758.82</x:v>
      </x:c>
    </x:row>
    <x:row r="922">
      <x:c r="A922" t="n">
        <x:v>2024</x:v>
      </x:c>
      <x:c r="B922" t="str">
        <x:v>2024-01</x:v>
      </x:c>
      <x:c r="C922" t="str">
        <x:v>Energy</x:v>
      </x:c>
      <x:c r="D922" t="str">
        <x:v>Convenience</x:v>
      </x:c>
      <x:c r="E922" t="str">
        <x:v>QLD</x:v>
      </x:c>
      <x:c r="F922" s="11" t="n">
        <x:v>91133.71</x:v>
      </x:c>
      <x:c r="G922" s="13" t="n">
        <x:v>16183</x:v>
      </x:c>
      <x:c r="H922" s="11" t="n">
        <x:v>54865.03</x:v>
      </x:c>
      <x:c r="I922" s="11" t="n">
        <x:v>123776.44</x:v>
      </x:c>
    </x:row>
    <x:row r="923">
      <x:c r="A923" t="n">
        <x:v>2024</x:v>
      </x:c>
      <x:c r="B923" t="str">
        <x:v>2024-01</x:v>
      </x:c>
      <x:c r="C923" t="str">
        <x:v>Energy</x:v>
      </x:c>
      <x:c r="D923" t="str">
        <x:v>Convenience</x:v>
      </x:c>
      <x:c r="E923" t="str">
        <x:v>VIC</x:v>
      </x:c>
      <x:c r="F923" s="11" t="n">
        <x:v>86878.92</x:v>
      </x:c>
      <x:c r="G923" s="13" t="n">
        <x:v>15926</x:v>
      </x:c>
      <x:c r="H923" s="11" t="n">
        <x:v>52263.62</x:v>
      </x:c>
      <x:c r="I923" s="11" t="n">
        <x:v>120138.49</x:v>
      </x:c>
    </x:row>
    <x:row r="924">
      <x:c r="A924" t="n">
        <x:v>2024</x:v>
      </x:c>
      <x:c r="B924" t="str">
        <x:v>2024-01</x:v>
      </x:c>
      <x:c r="C924" t="str">
        <x:v>Energy</x:v>
      </x:c>
      <x:c r="D924" t="str">
        <x:v>Grocery</x:v>
      </x:c>
      <x:c r="E924" t="str">
        <x:v>NSW</x:v>
      </x:c>
      <x:c r="F924" s="11" t="n">
        <x:v>370389.3</x:v>
      </x:c>
      <x:c r="G924" s="13" t="n">
        <x:v>78471</x:v>
      </x:c>
      <x:c r="H924" s="11" t="n">
        <x:v>193248.94</x:v>
      </x:c>
      <x:c r="I924" s="11" t="n">
        <x:v>320470.11</x:v>
      </x:c>
    </x:row>
    <x:row r="925">
      <x:c r="A925" t="n">
        <x:v>2024</x:v>
      </x:c>
      <x:c r="B925" t="str">
        <x:v>2024-01</x:v>
      </x:c>
      <x:c r="C925" t="str">
        <x:v>Energy</x:v>
      </x:c>
      <x:c r="D925" t="str">
        <x:v>Grocery</x:v>
      </x:c>
      <x:c r="E925" t="str">
        <x:v>QLD</x:v>
      </x:c>
      <x:c r="F925" s="11" t="n">
        <x:v>348952.84</x:v>
      </x:c>
      <x:c r="G925" s="13" t="n">
        <x:v>74212</x:v>
      </x:c>
      <x:c r="H925" s="11" t="n">
        <x:v>185973.03</x:v>
      </x:c>
      <x:c r="I925" s="11" t="n">
        <x:v>308204.52</x:v>
      </x:c>
    </x:row>
    <x:row r="926">
      <x:c r="A926" t="n">
        <x:v>2024</x:v>
      </x:c>
      <x:c r="B926" t="str">
        <x:v>2024-01</x:v>
      </x:c>
      <x:c r="C926" t="str">
        <x:v>Energy</x:v>
      </x:c>
      <x:c r="D926" t="str">
        <x:v>Grocery</x:v>
      </x:c>
      <x:c r="E926" t="str">
        <x:v>VIC</x:v>
      </x:c>
      <x:c r="F926" s="11" t="n">
        <x:v>344903.99</x:v>
      </x:c>
      <x:c r="G926" s="13" t="n">
        <x:v>72708</x:v>
      </x:c>
      <x:c r="H926" s="11" t="n">
        <x:v>180404.95</x:v>
      </x:c>
      <x:c r="I926" s="11" t="n">
        <x:v>298954.36</x:v>
      </x:c>
    </x:row>
    <x:row r="927">
      <x:c r="A927" t="n">
        <x:v>2024</x:v>
      </x:c>
      <x:c r="B927" t="str">
        <x:v>2024-01</x:v>
      </x:c>
      <x:c r="C927" t="str">
        <x:v>Energy</x:v>
      </x:c>
      <x:c r="D927" t="str">
        <x:v>Hospitality</x:v>
      </x:c>
      <x:c r="E927" t="str">
        <x:v>NSW</x:v>
      </x:c>
      <x:c r="F927" s="11" t="n">
        <x:v>46729.84</x:v>
      </x:c>
      <x:c r="G927" s="13" t="n">
        <x:v>10841</x:v>
      </x:c>
      <x:c r="H927" s="11" t="n">
        <x:v>22422.13</x:v>
      </x:c>
      <x:c r="I927" s="11" t="n">
        <x:v>39919.63</x:v>
      </x:c>
    </x:row>
    <x:row r="928">
      <x:c r="A928" t="n">
        <x:v>2024</x:v>
      </x:c>
      <x:c r="B928" t="str">
        <x:v>2024-01</x:v>
      </x:c>
      <x:c r="C928" t="str">
        <x:v>Energy</x:v>
      </x:c>
      <x:c r="D928" t="str">
        <x:v>Hospitality</x:v>
      </x:c>
      <x:c r="E928" t="str">
        <x:v>QLD</x:v>
      </x:c>
      <x:c r="F928" s="11" t="n">
        <x:v>44679.72</x:v>
      </x:c>
      <x:c r="G928" s="13" t="n">
        <x:v>10092</x:v>
      </x:c>
      <x:c r="H928" s="11" t="n">
        <x:v>22245.7</x:v>
      </x:c>
      <x:c r="I928" s="11" t="n">
        <x:v>38603.44</x:v>
      </x:c>
    </x:row>
    <x:row r="929">
      <x:c r="A929" t="n">
        <x:v>2024</x:v>
      </x:c>
      <x:c r="B929" t="str">
        <x:v>2024-01</x:v>
      </x:c>
      <x:c r="C929" t="str">
        <x:v>Energy</x:v>
      </x:c>
      <x:c r="D929" t="str">
        <x:v>Hospitality</x:v>
      </x:c>
      <x:c r="E929" t="str">
        <x:v>VIC</x:v>
      </x:c>
      <x:c r="F929" s="11" t="n">
        <x:v>43327.82</x:v>
      </x:c>
      <x:c r="G929" s="13" t="n">
        <x:v>9917</x:v>
      </x:c>
      <x:c r="H929" s="11" t="n">
        <x:v>21304.53</x:v>
      </x:c>
      <x:c r="I929" s="11" t="n">
        <x:v>37403.97</x:v>
      </x:c>
    </x:row>
    <x:row r="930">
      <x:c r="A930" t="n">
        <x:v>2024</x:v>
      </x:c>
      <x:c r="B930" t="str">
        <x:v>2024-01</x:v>
      </x:c>
      <x:c r="C930" t="str">
        <x:v>Energy</x:v>
      </x:c>
      <x:c r="D930" t="str">
        <x:v>Independent retail</x:v>
      </x:c>
      <x:c r="E930" t="str">
        <x:v>NSW</x:v>
      </x:c>
      <x:c r="F930" s="11" t="n">
        <x:v>122843.29</x:v>
      </x:c>
      <x:c r="G930" s="13" t="n">
        <x:v>24935</x:v>
      </x:c>
      <x:c r="H930" s="11" t="n">
        <x:v>67928.99</x:v>
      </x:c>
      <x:c r="I930" s="11" t="n">
        <x:v>108932.36</x:v>
      </x:c>
    </x:row>
    <x:row r="931">
      <x:c r="A931" t="n">
        <x:v>2024</x:v>
      </x:c>
      <x:c r="B931" t="str">
        <x:v>2024-01</x:v>
      </x:c>
      <x:c r="C931" t="str">
        <x:v>Energy</x:v>
      </x:c>
      <x:c r="D931" t="str">
        <x:v>Independent retail</x:v>
      </x:c>
      <x:c r="E931" t="str">
        <x:v>QLD</x:v>
      </x:c>
      <x:c r="F931" s="11" t="n">
        <x:v>118638.65</x:v>
      </x:c>
      <x:c r="G931" s="13" t="n">
        <x:v>23588</x:v>
      </x:c>
      <x:c r="H931" s="11" t="n">
        <x:v>64721.87</x:v>
      </x:c>
      <x:c r="I931" s="11" t="n">
        <x:v>104808.53</x:v>
      </x:c>
    </x:row>
    <x:row r="932">
      <x:c r="A932" t="n">
        <x:v>2024</x:v>
      </x:c>
      <x:c r="B932" t="str">
        <x:v>2024-01</x:v>
      </x:c>
      <x:c r="C932" t="str">
        <x:v>Energy</x:v>
      </x:c>
      <x:c r="D932" t="str">
        <x:v>Independent retail</x:v>
      </x:c>
      <x:c r="E932" t="str">
        <x:v>VIC</x:v>
      </x:c>
      <x:c r="F932" s="11" t="n">
        <x:v>114487.74</x:v>
      </x:c>
      <x:c r="G932" s="13" t="n">
        <x:v>22607</x:v>
      </x:c>
      <x:c r="H932" s="11" t="n">
        <x:v>63270.13</x:v>
      </x:c>
      <x:c r="I932" s="11" t="n">
        <x:v>101550.87</x:v>
      </x:c>
    </x:row>
    <x:row r="933">
      <x:c r="A933" t="n">
        <x:v>2024</x:v>
      </x:c>
      <x:c r="B933" t="str">
        <x:v>2024-01</x:v>
      </x:c>
      <x:c r="C933" t="str">
        <x:v>Energy</x:v>
      </x:c>
      <x:c r="D933" t="str">
        <x:v>Petrol</x:v>
      </x:c>
      <x:c r="E933" t="str">
        <x:v>NSW</x:v>
      </x:c>
      <x:c r="F933" s="11" t="n">
        <x:v>133334.53</x:v>
      </x:c>
      <x:c r="G933" s="13" t="n">
        <x:v>24831</x:v>
      </x:c>
      <x:c r="H933" s="11" t="n">
        <x:v>77324.83</x:v>
      </x:c>
      <x:c r="I933" s="11" t="n">
        <x:v>117438.11</x:v>
      </x:c>
    </x:row>
    <x:row r="934">
      <x:c r="A934" t="n">
        <x:v>2024</x:v>
      </x:c>
      <x:c r="B934" t="str">
        <x:v>2024-01</x:v>
      </x:c>
      <x:c r="C934" t="str">
        <x:v>Energy</x:v>
      </x:c>
      <x:c r="D934" t="str">
        <x:v>Petrol</x:v>
      </x:c>
      <x:c r="E934" t="str">
        <x:v>QLD</x:v>
      </x:c>
      <x:c r="F934" s="11" t="n">
        <x:v>129402.91</x:v>
      </x:c>
      <x:c r="G934" s="13" t="n">
        <x:v>24802</x:v>
      </x:c>
      <x:c r="H934" s="11" t="n">
        <x:v>73769.92</x:v>
      </x:c>
      <x:c r="I934" s="11" t="n">
        <x:v>112846.12</x:v>
      </x:c>
    </x:row>
    <x:row r="935">
      <x:c r="A935" t="n">
        <x:v>2024</x:v>
      </x:c>
      <x:c r="B935" t="str">
        <x:v>2024-01</x:v>
      </x:c>
      <x:c r="C935" t="str">
        <x:v>Energy</x:v>
      </x:c>
      <x:c r="D935" t="str">
        <x:v>Petrol</x:v>
      </x:c>
      <x:c r="E935" t="str">
        <x:v>VIC</x:v>
      </x:c>
      <x:c r="F935" s="11" t="n">
        <x:v>123979.27</x:v>
      </x:c>
      <x:c r="G935" s="13" t="n">
        <x:v>23218</x:v>
      </x:c>
      <x:c r="H935" s="11" t="n">
        <x:v>71620.07</x:v>
      </x:c>
      <x:c r="I935" s="11" t="n">
        <x:v>109467.5</x:v>
      </x:c>
    </x:row>
    <x:row r="936">
      <x:c r="A936" t="n">
        <x:v>2024</x:v>
      </x:c>
      <x:c r="B936" t="str">
        <x:v>2024-01</x:v>
      </x:c>
      <x:c r="C936" t="str">
        <x:v>Sparkling</x:v>
      </x:c>
      <x:c r="D936" t="str">
        <x:v>Convenience</x:v>
      </x:c>
      <x:c r="E936" t="str">
        <x:v>NSW</x:v>
      </x:c>
      <x:c r="F936" s="11" t="n">
        <x:v>156514.79</x:v>
      </x:c>
      <x:c r="G936" s="13" t="n">
        <x:v>37311</x:v>
      </x:c>
      <x:c r="H936" s="11" t="n">
        <x:v>86317.1</x:v>
      </x:c>
      <x:c r="I936" s="11" t="n">
        <x:v>156483.02</x:v>
      </x:c>
    </x:row>
    <x:row r="937">
      <x:c r="A937" t="n">
        <x:v>2024</x:v>
      </x:c>
      <x:c r="B937" t="str">
        <x:v>2024-01</x:v>
      </x:c>
      <x:c r="C937" t="str">
        <x:v>Sparkling</x:v>
      </x:c>
      <x:c r="D937" t="str">
        <x:v>Convenience</x:v>
      </x:c>
      <x:c r="E937" t="str">
        <x:v>QLD</x:v>
      </x:c>
      <x:c r="F937" s="11" t="n">
        <x:v>147701.11</x:v>
      </x:c>
      <x:c r="G937" s="13" t="n">
        <x:v>36039</x:v>
      </x:c>
      <x:c r="H937" s="11" t="n">
        <x:v>79627.3</x:v>
      </x:c>
      <x:c r="I937" s="11" t="n">
        <x:v>150492</x:v>
      </x:c>
    </x:row>
    <x:row r="938">
      <x:c r="A938" t="n">
        <x:v>2024</x:v>
      </x:c>
      <x:c r="B938" t="str">
        <x:v>2024-01</x:v>
      </x:c>
      <x:c r="C938" t="str">
        <x:v>Sparkling</x:v>
      </x:c>
      <x:c r="D938" t="str">
        <x:v>Convenience</x:v>
      </x:c>
      <x:c r="E938" t="str">
        <x:v>VIC</x:v>
      </x:c>
      <x:c r="F938" s="11" t="n">
        <x:v>144479.92</x:v>
      </x:c>
      <x:c r="G938" s="13" t="n">
        <x:v>34771</x:v>
      </x:c>
      <x:c r="H938" s="11" t="n">
        <x:v>78730.48</x:v>
      </x:c>
      <x:c r="I938" s="11" t="n">
        <x:v>145938.6</x:v>
      </x:c>
    </x:row>
    <x:row r="939">
      <x:c r="A939" t="n">
        <x:v>2024</x:v>
      </x:c>
      <x:c r="B939" t="str">
        <x:v>2024-01</x:v>
      </x:c>
      <x:c r="C939" t="str">
        <x:v>Sparkling</x:v>
      </x:c>
      <x:c r="D939" t="str">
        <x:v>Grocery</x:v>
      </x:c>
      <x:c r="E939" t="str">
        <x:v>NSW</x:v>
      </x:c>
      <x:c r="F939" s="11" t="n">
        <x:v>382024.4</x:v>
      </x:c>
      <x:c r="G939" s="13" t="n">
        <x:v>108480</x:v>
      </x:c>
      <x:c r="H939" s="11" t="n">
        <x:v>179791.22</x:v>
      </x:c>
      <x:c r="I939" s="11" t="n">
        <x:v>389119.94</x:v>
      </x:c>
    </x:row>
    <x:row r="940">
      <x:c r="A940" t="n">
        <x:v>2024</x:v>
      </x:c>
      <x:c r="B940" t="str">
        <x:v>2024-01</x:v>
      </x:c>
      <x:c r="C940" t="str">
        <x:v>Sparkling</x:v>
      </x:c>
      <x:c r="D940" t="str">
        <x:v>Grocery</x:v>
      </x:c>
      <x:c r="E940" t="str">
        <x:v>QLD</x:v>
      </x:c>
      <x:c r="F940" s="11" t="n">
        <x:v>368772.15</x:v>
      </x:c>
      <x:c r="G940" s="13" t="n">
        <x:v>103140</x:v>
      </x:c>
      <x:c r="H940" s="11" t="n">
        <x:v>176846.98</x:v>
      </x:c>
      <x:c r="I940" s="11" t="n">
        <x:v>374118.03</x:v>
      </x:c>
    </x:row>
    <x:row r="941">
      <x:c r="A941" t="n">
        <x:v>2024</x:v>
      </x:c>
      <x:c r="B941" t="str">
        <x:v>2024-01</x:v>
      </x:c>
      <x:c r="C941" t="str">
        <x:v>Sparkling</x:v>
      </x:c>
      <x:c r="D941" t="str">
        <x:v>Grocery</x:v>
      </x:c>
      <x:c r="E941" t="str">
        <x:v>VIC</x:v>
      </x:c>
      <x:c r="F941" s="11" t="n">
        <x:v>362248.76</x:v>
      </x:c>
      <x:c r="G941" s="13" t="n">
        <x:v>101446</x:v>
      </x:c>
      <x:c r="H941" s="11" t="n">
        <x:v>172812.98</x:v>
      </x:c>
      <x:c r="I941" s="11" t="n">
        <x:v>362893.77</x:v>
      </x:c>
    </x:row>
    <x:row r="942">
      <x:c r="A942" t="n">
        <x:v>2024</x:v>
      </x:c>
      <x:c r="B942" t="str">
        <x:v>2024-01</x:v>
      </x:c>
      <x:c r="C942" t="str">
        <x:v>Sparkling</x:v>
      </x:c>
      <x:c r="D942" t="str">
        <x:v>Hospitality</x:v>
      </x:c>
      <x:c r="E942" t="str">
        <x:v>NSW</x:v>
      </x:c>
      <x:c r="F942" s="11" t="n">
        <x:v>48024.75</x:v>
      </x:c>
      <x:c r="G942" s="13" t="n">
        <x:v>14695</x:v>
      </x:c>
      <x:c r="H942" s="11" t="n">
        <x:v>20690.49</x:v>
      </x:c>
      <x:c r="I942" s="11" t="n">
        <x:v>48748.21</x:v>
      </x:c>
    </x:row>
    <x:row r="943">
      <x:c r="A943" t="n">
        <x:v>2024</x:v>
      </x:c>
      <x:c r="B943" t="str">
        <x:v>2024-01</x:v>
      </x:c>
      <x:c r="C943" t="str">
        <x:v>Sparkling</x:v>
      </x:c>
      <x:c r="D943" t="str">
        <x:v>Hospitality</x:v>
      </x:c>
      <x:c r="E943" t="str">
        <x:v>QLD</x:v>
      </x:c>
      <x:c r="F943" s="11" t="n">
        <x:v>46174.97</x:v>
      </x:c>
      <x:c r="G943" s="13" t="n">
        <x:v>13846</x:v>
      </x:c>
      <x:c r="H943" s="11" t="n">
        <x:v>20118.47</x:v>
      </x:c>
      <x:c r="I943" s="11" t="n">
        <x:v>46802.61</x:v>
      </x:c>
    </x:row>
    <x:row r="944">
      <x:c r="A944" t="n">
        <x:v>2024</x:v>
      </x:c>
      <x:c r="B944" t="str">
        <x:v>2024-01</x:v>
      </x:c>
      <x:c r="C944" t="str">
        <x:v>Sparkling</x:v>
      </x:c>
      <x:c r="D944" t="str">
        <x:v>Hospitality</x:v>
      </x:c>
      <x:c r="E944" t="str">
        <x:v>VIC</x:v>
      </x:c>
      <x:c r="F944" s="11" t="n">
        <x:v>45574.02</x:v>
      </x:c>
      <x:c r="G944" s="13" t="n">
        <x:v>13652</x:v>
      </x:c>
      <x:c r="H944" s="11" t="n">
        <x:v>19853.96</x:v>
      </x:c>
      <x:c r="I944" s="11" t="n">
        <x:v>45362.33</x:v>
      </x:c>
    </x:row>
    <x:row r="945">
      <x:c r="A945" t="n">
        <x:v>2024</x:v>
      </x:c>
      <x:c r="B945" t="str">
        <x:v>2024-01</x:v>
      </x:c>
      <x:c r="C945" t="str">
        <x:v>Sparkling</x:v>
      </x:c>
      <x:c r="D945" t="str">
        <x:v>Independent retail</x:v>
      </x:c>
      <x:c r="E945" t="str">
        <x:v>NSW</x:v>
      </x:c>
      <x:c r="F945" s="11" t="n">
        <x:v>129613.86</x:v>
      </x:c>
      <x:c r="G945" s="13" t="n">
        <x:v>34928</x:v>
      </x:c>
      <x:c r="H945" s="11" t="n">
        <x:v>63084.090000000004</x:v>
      </x:c>
      <x:c r="I945" s="11" t="n">
        <x:v>132360.88</x:v>
      </x:c>
    </x:row>
    <x:row r="946">
      <x:c r="A946" t="n">
        <x:v>2024</x:v>
      </x:c>
      <x:c r="B946" t="str">
        <x:v>2024-01</x:v>
      </x:c>
      <x:c r="C946" t="str">
        <x:v>Sparkling</x:v>
      </x:c>
      <x:c r="D946" t="str">
        <x:v>Independent retail</x:v>
      </x:c>
      <x:c r="E946" t="str">
        <x:v>QLD</x:v>
      </x:c>
      <x:c r="F946" s="11" t="n">
        <x:v>127679.44</x:v>
      </x:c>
      <x:c r="G946" s="13" t="n">
        <x:v>35109</x:v>
      </x:c>
      <x:c r="H946" s="11" t="n">
        <x:v>61290.91</x:v>
      </x:c>
      <x:c r="I946" s="11" t="n">
        <x:v>127289.56</x:v>
      </x:c>
    </x:row>
    <x:row r="947">
      <x:c r="A947" t="n">
        <x:v>2024</x:v>
      </x:c>
      <x:c r="B947" t="str">
        <x:v>2024-01</x:v>
      </x:c>
      <x:c r="C947" t="str">
        <x:v>Sparkling</x:v>
      </x:c>
      <x:c r="D947" t="str">
        <x:v>Independent retail</x:v>
      </x:c>
      <x:c r="E947" t="str">
        <x:v>VIC</x:v>
      </x:c>
      <x:c r="F947" s="11" t="n">
        <x:v>123063.89</x:v>
      </x:c>
      <x:c r="G947" s="13" t="n">
        <x:v>33736</x:v>
      </x:c>
      <x:c r="H947" s="11" t="n">
        <x:v>59222.11</x:v>
      </x:c>
      <x:c r="I947" s="11" t="n">
        <x:v>123492.49</x:v>
      </x:c>
    </x:row>
    <x:row r="948">
      <x:c r="A948" t="n">
        <x:v>2024</x:v>
      </x:c>
      <x:c r="B948" t="str">
        <x:v>2024-01</x:v>
      </x:c>
      <x:c r="C948" t="str">
        <x:v>Sparkling</x:v>
      </x:c>
      <x:c r="D948" t="str">
        <x:v>Petrol</x:v>
      </x:c>
      <x:c r="E948" t="str">
        <x:v>NSW</x:v>
      </x:c>
      <x:c r="F948" s="11" t="n">
        <x:v>141773.65</x:v>
      </x:c>
      <x:c r="G948" s="13" t="n">
        <x:v>35664</x:v>
      </x:c>
      <x:c r="H948" s="11" t="n">
        <x:v>73922.68</x:v>
      </x:c>
      <x:c r="I948" s="11" t="n">
        <x:v>142702.66</x:v>
      </x:c>
    </x:row>
    <x:row r="949">
      <x:c r="A949" t="n">
        <x:v>2024</x:v>
      </x:c>
      <x:c r="B949" t="str">
        <x:v>2024-01</x:v>
      </x:c>
      <x:c r="C949" t="str">
        <x:v>Sparkling</x:v>
      </x:c>
      <x:c r="D949" t="str">
        <x:v>Petrol</x:v>
      </x:c>
      <x:c r="E949" t="str">
        <x:v>QLD</x:v>
      </x:c>
      <x:c r="F949" s="11" t="n">
        <x:v>134648.58</x:v>
      </x:c>
      <x:c r="G949" s="13" t="n">
        <x:v>33866</x:v>
      </x:c>
      <x:c r="H949" s="11" t="n">
        <x:v>71001.18000000001</x:v>
      </x:c>
      <x:c r="I949" s="11" t="n">
        <x:v>137187.19</x:v>
      </x:c>
    </x:row>
    <x:row r="950">
      <x:c r="A950" t="n">
        <x:v>2024</x:v>
      </x:c>
      <x:c r="B950" t="str">
        <x:v>2024-01</x:v>
      </x:c>
      <x:c r="C950" t="str">
        <x:v>Sparkling</x:v>
      </x:c>
      <x:c r="D950" t="str">
        <x:v>Petrol</x:v>
      </x:c>
      <x:c r="E950" t="str">
        <x:v>VIC</x:v>
      </x:c>
      <x:c r="F950" s="11" t="n">
        <x:v>132488.97</x:v>
      </x:c>
      <x:c r="G950" s="13" t="n">
        <x:v>33533</x:v>
      </x:c>
      <x:c r="H950" s="11" t="n">
        <x:v>69306.57</x:v>
      </x:c>
      <x:c r="I950" s="11" t="n">
        <x:v>133129.2</x:v>
      </x:c>
    </x:row>
    <x:row r="951">
      <x:c r="A951" t="n">
        <x:v>2024</x:v>
      </x:c>
      <x:c r="B951" t="str">
        <x:v>2024-01</x:v>
      </x:c>
      <x:c r="C951" t="str">
        <x:v>Sports</x:v>
      </x:c>
      <x:c r="D951" t="str">
        <x:v>Convenience</x:v>
      </x:c>
      <x:c r="E951" t="str">
        <x:v>NSW</x:v>
      </x:c>
      <x:c r="F951" s="11" t="n">
        <x:v>86816.01</x:v>
      </x:c>
      <x:c r="G951" s="13" t="n">
        <x:v>16721</x:v>
      </x:c>
      <x:c r="H951" s="11" t="n">
        <x:v>46908.83</x:v>
      </x:c>
      <x:c r="I951" s="11" t="n">
        <x:v>86439.01</x:v>
      </x:c>
    </x:row>
    <x:row r="952">
      <x:c r="A952" t="n">
        <x:v>2024</x:v>
      </x:c>
      <x:c r="B952" t="str">
        <x:v>2024-01</x:v>
      </x:c>
      <x:c r="C952" t="str">
        <x:v>Sports</x:v>
      </x:c>
      <x:c r="D952" t="str">
        <x:v>Convenience</x:v>
      </x:c>
      <x:c r="E952" t="str">
        <x:v>QLD</x:v>
      </x:c>
      <x:c r="F952" s="11" t="n">
        <x:v>87844.11</x:v>
      </x:c>
      <x:c r="G952" s="13" t="n">
        <x:v>17312</x:v>
      </x:c>
      <x:c r="H952" s="11" t="n">
        <x:v>45606.22</x:v>
      </x:c>
      <x:c r="I952" s="11" t="n">
        <x:v>83032.8</x:v>
      </x:c>
    </x:row>
    <x:row r="953">
      <x:c r="A953" t="n">
        <x:v>2024</x:v>
      </x:c>
      <x:c r="B953" t="str">
        <x:v>2024-01</x:v>
      </x:c>
      <x:c r="C953" t="str">
        <x:v>Sports</x:v>
      </x:c>
      <x:c r="D953" t="str">
        <x:v>Convenience</x:v>
      </x:c>
      <x:c r="E953" t="str">
        <x:v>VIC</x:v>
      </x:c>
      <x:c r="F953" s="11" t="n">
        <x:v>87252.81</x:v>
      </x:c>
      <x:c r="G953" s="13" t="n">
        <x:v>16533</x:v>
      </x:c>
      <x:c r="H953" s="11" t="n">
        <x:v>46403.81</x:v>
      </x:c>
      <x:c r="I953" s="11" t="n">
        <x:v>80564.38</x:v>
      </x:c>
    </x:row>
    <x:row r="954">
      <x:c r="A954" t="n">
        <x:v>2024</x:v>
      </x:c>
      <x:c r="B954" t="str">
        <x:v>2024-01</x:v>
      </x:c>
      <x:c r="C954" t="str">
        <x:v>Sports</x:v>
      </x:c>
      <x:c r="D954" t="str">
        <x:v>Grocery</x:v>
      </x:c>
      <x:c r="E954" t="str">
        <x:v>NSW</x:v>
      </x:c>
      <x:c r="F954" s="11" t="n">
        <x:v>218543.81</x:v>
      </x:c>
      <x:c r="G954" s="13" t="n">
        <x:v>50785</x:v>
      </x:c>
      <x:c r="H954" s="11" t="n">
        <x:v>97105.02</x:v>
      </x:c>
      <x:c r="I954" s="11" t="n">
        <x:v>214416.98</x:v>
      </x:c>
    </x:row>
    <x:row r="955">
      <x:c r="A955" t="n">
        <x:v>2024</x:v>
      </x:c>
      <x:c r="B955" t="str">
        <x:v>2024-01</x:v>
      </x:c>
      <x:c r="C955" t="str">
        <x:v>Sports</x:v>
      </x:c>
      <x:c r="D955" t="str">
        <x:v>Grocery</x:v>
      </x:c>
      <x:c r="E955" t="str">
        <x:v>QLD</x:v>
      </x:c>
      <x:c r="F955" s="11" t="n">
        <x:v>214094.58</x:v>
      </x:c>
      <x:c r="G955" s="13" t="n">
        <x:v>47463</x:v>
      </x:c>
      <x:c r="H955" s="11" t="n">
        <x:v>100181.91</x:v>
      </x:c>
      <x:c r="I955" s="11" t="n">
        <x:v>206224.16</x:v>
      </x:c>
    </x:row>
    <x:row r="956">
      <x:c r="A956" t="n">
        <x:v>2024</x:v>
      </x:c>
      <x:c r="B956" t="str">
        <x:v>2024-01</x:v>
      </x:c>
      <x:c r="C956" t="str">
        <x:v>Sports</x:v>
      </x:c>
      <x:c r="D956" t="str">
        <x:v>Grocery</x:v>
      </x:c>
      <x:c r="E956" t="str">
        <x:v>VIC</x:v>
      </x:c>
      <x:c r="F956" s="11" t="n">
        <x:v>211506.41999999998</x:v>
      </x:c>
      <x:c r="G956" s="13" t="n">
        <x:v>47669</x:v>
      </x:c>
      <x:c r="H956" s="11" t="n">
        <x:v>97062.37</x:v>
      </x:c>
      <x:c r="I956" s="11" t="n">
        <x:v>200040.52</x:v>
      </x:c>
    </x:row>
    <x:row r="957">
      <x:c r="A957" t="n">
        <x:v>2024</x:v>
      </x:c>
      <x:c r="B957" t="str">
        <x:v>2024-01</x:v>
      </x:c>
      <x:c r="C957" t="str">
        <x:v>Sports</x:v>
      </x:c>
      <x:c r="D957" t="str">
        <x:v>Hospitality</x:v>
      </x:c>
      <x:c r="E957" t="str">
        <x:v>NSW</x:v>
      </x:c>
      <x:c r="F957" s="11" t="n">
        <x:v>28272.3</x:v>
      </x:c>
      <x:c r="G957" s="13" t="n">
        <x:v>7029</x:v>
      </x:c>
      <x:c r="H957" s="11" t="n">
        <x:v>11602.11</x:v>
      </x:c>
      <x:c r="I957" s="11" t="n">
        <x:v>26801.399999999998</x:v>
      </x:c>
    </x:row>
    <x:row r="958">
      <x:c r="A958" t="n">
        <x:v>2024</x:v>
      </x:c>
      <x:c r="B958" t="str">
        <x:v>2024-01</x:v>
      </x:c>
      <x:c r="C958" t="str">
        <x:v>Sports</x:v>
      </x:c>
      <x:c r="D958" t="str">
        <x:v>Hospitality</x:v>
      </x:c>
      <x:c r="E958" t="str">
        <x:v>QLD</x:v>
      </x:c>
      <x:c r="F958" s="11" t="n">
        <x:v>27550.53</x:v>
      </x:c>
      <x:c r="G958" s="13" t="n">
        <x:v>6501</x:v>
      </x:c>
      <x:c r="H958" s="11" t="n">
        <x:v>11597.45</x:v>
      </x:c>
      <x:c r="I958" s="11" t="n">
        <x:v>25852.18</x:v>
      </x:c>
    </x:row>
    <x:row r="959">
      <x:c r="A959" t="n">
        <x:v>2024</x:v>
      </x:c>
      <x:c r="B959" t="str">
        <x:v>2024-01</x:v>
      </x:c>
      <x:c r="C959" t="str">
        <x:v>Sports</x:v>
      </x:c>
      <x:c r="D959" t="str">
        <x:v>Hospitality</x:v>
      </x:c>
      <x:c r="E959" t="str">
        <x:v>VIC</x:v>
      </x:c>
      <x:c r="F959" s="11" t="n">
        <x:v>26054.72</x:v>
      </x:c>
      <x:c r="G959" s="13" t="n">
        <x:v>6252</x:v>
      </x:c>
      <x:c r="H959" s="11" t="n">
        <x:v>10992.92</x:v>
      </x:c>
      <x:c r="I959" s="11" t="n">
        <x:v>24927.71</x:v>
      </x:c>
    </x:row>
    <x:row r="960">
      <x:c r="A960" t="n">
        <x:v>2024</x:v>
      </x:c>
      <x:c r="B960" t="str">
        <x:v>2024-01</x:v>
      </x:c>
      <x:c r="C960" t="str">
        <x:v>Sports</x:v>
      </x:c>
      <x:c r="D960" t="str">
        <x:v>Independent retail</x:v>
      </x:c>
      <x:c r="E960" t="str">
        <x:v>NSW</x:v>
      </x:c>
      <x:c r="F960" s="11" t="n">
        <x:v>74616.23</x:v>
      </x:c>
      <x:c r="G960" s="13" t="n">
        <x:v>16402</x:v>
      </x:c>
      <x:c r="H960" s="11" t="n">
        <x:v>35097.71</x:v>
      </x:c>
      <x:c r="I960" s="11" t="n">
        <x:v>72928.1</x:v>
      </x:c>
    </x:row>
    <x:row r="961">
      <x:c r="A961" t="n">
        <x:v>2024</x:v>
      </x:c>
      <x:c r="B961" t="str">
        <x:v>2024-01</x:v>
      </x:c>
      <x:c r="C961" t="str">
        <x:v>Sports</x:v>
      </x:c>
      <x:c r="D961" t="str">
        <x:v>Independent retail</x:v>
      </x:c>
      <x:c r="E961" t="str">
        <x:v>QLD</x:v>
      </x:c>
      <x:c r="F961" s="11" t="n">
        <x:v>72578.84</x:v>
      </x:c>
      <x:c r="G961" s="13" t="n">
        <x:v>16499</x:v>
      </x:c>
      <x:c r="H961" s="11" t="n">
        <x:v>32871.42</x:v>
      </x:c>
      <x:c r="I961" s="11" t="n">
        <x:v>70087.56</x:v>
      </x:c>
    </x:row>
    <x:row r="962">
      <x:c r="A962" t="n">
        <x:v>2024</x:v>
      </x:c>
      <x:c r="B962" t="str">
        <x:v>2024-01</x:v>
      </x:c>
      <x:c r="C962" t="str">
        <x:v>Sports</x:v>
      </x:c>
      <x:c r="D962" t="str">
        <x:v>Independent retail</x:v>
      </x:c>
      <x:c r="E962" t="str">
        <x:v>VIC</x:v>
      </x:c>
      <x:c r="F962" s="11" t="n">
        <x:v>72211.28</x:v>
      </x:c>
      <x:c r="G962" s="13" t="n">
        <x:v>16098</x:v>
      </x:c>
      <x:c r="H962" s="11" t="n">
        <x:v>33128.55</x:v>
      </x:c>
      <x:c r="I962" s="11" t="n">
        <x:v>68005.16</x:v>
      </x:c>
    </x:row>
    <x:row r="963">
      <x:c r="A963" t="n">
        <x:v>2024</x:v>
      </x:c>
      <x:c r="B963" t="str">
        <x:v>2024-01</x:v>
      </x:c>
      <x:c r="C963" t="str">
        <x:v>Sports</x:v>
      </x:c>
      <x:c r="D963" t="str">
        <x:v>Petrol</x:v>
      </x:c>
      <x:c r="E963" t="str">
        <x:v>NSW</x:v>
      </x:c>
      <x:c r="F963" s="11" t="n">
        <x:v>83500.27</x:v>
      </x:c>
      <x:c r="G963" s="13" t="n">
        <x:v>17266</x:v>
      </x:c>
      <x:c r="H963" s="11" t="n">
        <x:v>41490.31</x:v>
      </x:c>
      <x:c r="I963" s="11" t="n">
        <x:v>79048.94</x:v>
      </x:c>
    </x:row>
    <x:row r="964">
      <x:c r="A964" t="n">
        <x:v>2024</x:v>
      </x:c>
      <x:c r="B964" t="str">
        <x:v>2024-01</x:v>
      </x:c>
      <x:c r="C964" t="str">
        <x:v>Sports</x:v>
      </x:c>
      <x:c r="D964" t="str">
        <x:v>Petrol</x:v>
      </x:c>
      <x:c r="E964" t="str">
        <x:v>QLD</x:v>
      </x:c>
      <x:c r="F964" s="11" t="n">
        <x:v>80077.39</x:v>
      </x:c>
      <x:c r="G964" s="13" t="n">
        <x:v>16729</x:v>
      </x:c>
      <x:c r="H964" s="11" t="n">
        <x:v>40218.13</x:v>
      </x:c>
      <x:c r="I964" s="11" t="n">
        <x:v>76023.08</x:v>
      </x:c>
    </x:row>
    <x:row r="965">
      <x:c r="A965" t="n">
        <x:v>2024</x:v>
      </x:c>
      <x:c r="B965" t="str">
        <x:v>2024-01</x:v>
      </x:c>
      <x:c r="C965" t="str">
        <x:v>Sports</x:v>
      </x:c>
      <x:c r="D965" t="str">
        <x:v>Petrol</x:v>
      </x:c>
      <x:c r="E965" t="str">
        <x:v>VIC</x:v>
      </x:c>
      <x:c r="F965" s="11" t="n">
        <x:v>79578.84</x:v>
      </x:c>
      <x:c r="G965" s="13" t="n">
        <x:v>16633</x:v>
      </x:c>
      <x:c r="H965" s="11" t="n">
        <x:v>39503.86</x:v>
      </x:c>
      <x:c r="I965" s="11" t="n">
        <x:v>73666.14</x:v>
      </x:c>
    </x:row>
    <x:row r="966">
      <x:c r="A966" t="n">
        <x:v>2024</x:v>
      </x:c>
      <x:c r="B966" t="str">
        <x:v>2024-01</x:v>
      </x:c>
      <x:c r="C966" t="str">
        <x:v>Water</x:v>
      </x:c>
      <x:c r="D966" t="str">
        <x:v>Convenience</x:v>
      </x:c>
      <x:c r="E966" t="str">
        <x:v>NSW</x:v>
      </x:c>
      <x:c r="F966" s="11" t="n">
        <x:v>105019.04</x:v>
      </x:c>
      <x:c r="G966" s="13" t="n">
        <x:v>33527</x:v>
      </x:c>
      <x:c r="H966" s="11" t="n">
        <x:v>49390.64</x:v>
      </x:c>
      <x:c r="I966" s="11" t="n">
        <x:v>102919.24</x:v>
      </x:c>
    </x:row>
    <x:row r="967">
      <x:c r="A967" t="n">
        <x:v>2024</x:v>
      </x:c>
      <x:c r="B967" t="str">
        <x:v>2024-01</x:v>
      </x:c>
      <x:c r="C967" t="str">
        <x:v>Water</x:v>
      </x:c>
      <x:c r="D967" t="str">
        <x:v>Convenience</x:v>
      </x:c>
      <x:c r="E967" t="str">
        <x:v>QLD</x:v>
      </x:c>
      <x:c r="F967" s="11" t="n">
        <x:v>97131.6</x:v>
      </x:c>
      <x:c r="G967" s="13" t="n">
        <x:v>30495</x:v>
      </x:c>
      <x:c r="H967" s="11" t="n">
        <x:v>47267.61</x:v>
      </x:c>
      <x:c r="I967" s="11" t="n">
        <x:v>98991.64</x:v>
      </x:c>
    </x:row>
    <x:row r="968">
      <x:c r="A968" t="n">
        <x:v>2024</x:v>
      </x:c>
      <x:c r="B968" t="str">
        <x:v>2024-01</x:v>
      </x:c>
      <x:c r="C968" t="str">
        <x:v>Water</x:v>
      </x:c>
      <x:c r="D968" t="str">
        <x:v>Convenience</x:v>
      </x:c>
      <x:c r="E968" t="str">
        <x:v>VIC</x:v>
      </x:c>
      <x:c r="F968" s="11" t="n">
        <x:v>94572.39</x:v>
      </x:c>
      <x:c r="G968" s="13" t="n">
        <x:v>30374</x:v>
      </x:c>
      <x:c r="H968" s="11" t="n">
        <x:v>45027.43</x:v>
      </x:c>
      <x:c r="I968" s="11" t="n">
        <x:v>96007.89</x:v>
      </x:c>
    </x:row>
    <x:row r="969">
      <x:c r="A969" t="n">
        <x:v>2024</x:v>
      </x:c>
      <x:c r="B969" t="str">
        <x:v>2024-01</x:v>
      </x:c>
      <x:c r="C969" t="str">
        <x:v>Water</x:v>
      </x:c>
      <x:c r="D969" t="str">
        <x:v>Grocery</x:v>
      </x:c>
      <x:c r="E969" t="str">
        <x:v>NSW</x:v>
      </x:c>
      <x:c r="F969" s="11" t="n">
        <x:v>260177.17</x:v>
      </x:c>
      <x:c r="G969" s="13" t="n">
        <x:v>91519</x:v>
      </x:c>
      <x:c r="H969" s="11" t="n">
        <x:v>105717.72</x:v>
      </x:c>
      <x:c r="I969" s="11" t="n">
        <x:v>256613.64</x:v>
      </x:c>
    </x:row>
    <x:row r="970">
      <x:c r="A970" t="n">
        <x:v>2024</x:v>
      </x:c>
      <x:c r="B970" t="str">
        <x:v>2024-01</x:v>
      </x:c>
      <x:c r="C970" t="str">
        <x:v>Water</x:v>
      </x:c>
      <x:c r="D970" t="str">
        <x:v>Grocery</x:v>
      </x:c>
      <x:c r="E970" t="str">
        <x:v>QLD</x:v>
      </x:c>
      <x:c r="F970" s="11" t="n">
        <x:v>247318.28</x:v>
      </x:c>
      <x:c r="G970" s="13" t="n">
        <x:v>91500</x:v>
      </x:c>
      <x:c r="H970" s="11" t="n">
        <x:v>95886.59</x:v>
      </x:c>
      <x:c r="I970" s="11" t="n">
        <x:v>246721.88</x:v>
      </x:c>
    </x:row>
    <x:row r="971">
      <x:c r="A971" t="n">
        <x:v>2024</x:v>
      </x:c>
      <x:c r="B971" t="str">
        <x:v>2024-01</x:v>
      </x:c>
      <x:c r="C971" t="str">
        <x:v>Water</x:v>
      </x:c>
      <x:c r="D971" t="str">
        <x:v>Grocery</x:v>
      </x:c>
      <x:c r="E971" t="str">
        <x:v>VIC</x:v>
      </x:c>
      <x:c r="F971" s="11" t="n">
        <x:v>229083.19</x:v>
      </x:c>
      <x:c r="G971" s="13" t="n">
        <x:v>83878</x:v>
      </x:c>
      <x:c r="H971" s="11" t="n">
        <x:v>90114.29</x:v>
      </x:c>
      <x:c r="I971" s="11" t="n">
        <x:v>239329.06</x:v>
      </x:c>
    </x:row>
    <x:row r="972">
      <x:c r="A972" t="n">
        <x:v>2024</x:v>
      </x:c>
      <x:c r="B972" t="str">
        <x:v>2024-01</x:v>
      </x:c>
      <x:c r="C972" t="str">
        <x:v>Water</x:v>
      </x:c>
      <x:c r="D972" t="str">
        <x:v>Hospitality</x:v>
      </x:c>
      <x:c r="E972" t="str">
        <x:v>NSW</x:v>
      </x:c>
      <x:c r="F972" s="11" t="n">
        <x:v>32267.63</x:v>
      </x:c>
      <x:c r="G972" s="13" t="n">
        <x:v>12765</x:v>
      </x:c>
      <x:c r="H972" s="11" t="n">
        <x:v>11036.53</x:v>
      </x:c>
      <x:c r="I972" s="11" t="n">
        <x:v>32137.05</x:v>
      </x:c>
    </x:row>
    <x:row r="973">
      <x:c r="A973" t="n">
        <x:v>2024</x:v>
      </x:c>
      <x:c r="B973" t="str">
        <x:v>2024-01</x:v>
      </x:c>
      <x:c r="C973" t="str">
        <x:v>Water</x:v>
      </x:c>
      <x:c r="D973" t="str">
        <x:v>Hospitality</x:v>
      </x:c>
      <x:c r="E973" t="str">
        <x:v>QLD</x:v>
      </x:c>
      <x:c r="F973" s="11" t="n">
        <x:v>30745.84</x:v>
      </x:c>
      <x:c r="G973" s="13" t="n">
        <x:v>12489</x:v>
      </x:c>
      <x:c r="H973" s="11" t="n">
        <x:v>10217.92</x:v>
      </x:c>
      <x:c r="I973" s="11" t="n">
        <x:v>30941.899999999998</x:v>
      </x:c>
    </x:row>
    <x:row r="974">
      <x:c r="A974" t="n">
        <x:v>2024</x:v>
      </x:c>
      <x:c r="B974" t="str">
        <x:v>2024-01</x:v>
      </x:c>
      <x:c r="C974" t="str">
        <x:v>Water</x:v>
      </x:c>
      <x:c r="D974" t="str">
        <x:v>Hospitality</x:v>
      </x:c>
      <x:c r="E974" t="str">
        <x:v>VIC</x:v>
      </x:c>
      <x:c r="F974" s="11" t="n">
        <x:v>30675.98</x:v>
      </x:c>
      <x:c r="G974" s="13" t="n">
        <x:v>12273</x:v>
      </x:c>
      <x:c r="H974" s="11" t="n">
        <x:v>10248.86</x:v>
      </x:c>
      <x:c r="I974" s="11" t="n">
        <x:v>29944.579999999998</x:v>
      </x:c>
    </x:row>
    <x:row r="975">
      <x:c r="A975" t="n">
        <x:v>2024</x:v>
      </x:c>
      <x:c r="B975" t="str">
        <x:v>2024-01</x:v>
      </x:c>
      <x:c r="C975" t="str">
        <x:v>Water</x:v>
      </x:c>
      <x:c r="D975" t="str">
        <x:v>Independent retail</x:v>
      </x:c>
      <x:c r="E975" t="str">
        <x:v>NSW</x:v>
      </x:c>
      <x:c r="F975" s="11" t="n">
        <x:v>89524.33</x:v>
      </x:c>
      <x:c r="G975" s="13" t="n">
        <x:v>32214</x:v>
      </x:c>
      <x:c r="H975" s="11" t="n">
        <x:v>36498.21</x:v>
      </x:c>
      <x:c r="I975" s="11" t="n">
        <x:v>87342.5</x:v>
      </x:c>
    </x:row>
    <x:row r="976">
      <x:c r="A976" t="n">
        <x:v>2024</x:v>
      </x:c>
      <x:c r="B976" t="str">
        <x:v>2024-01</x:v>
      </x:c>
      <x:c r="C976" t="str">
        <x:v>Water</x:v>
      </x:c>
      <x:c r="D976" t="str">
        <x:v>Independent retail</x:v>
      </x:c>
      <x:c r="E976" t="str">
        <x:v>QLD</x:v>
      </x:c>
      <x:c r="F976" s="11" t="n">
        <x:v>83463.5</x:v>
      </x:c>
      <x:c r="G976" s="13" t="n">
        <x:v>28604</x:v>
      </x:c>
      <x:c r="H976" s="11" t="n">
        <x:v>36124.48</x:v>
      </x:c>
      <x:c r="I976" s="11" t="n">
        <x:v>84014.34</x:v>
      </x:c>
    </x:row>
    <x:row r="977">
      <x:c r="A977" t="n">
        <x:v>2024</x:v>
      </x:c>
      <x:c r="B977" t="str">
        <x:v>2024-01</x:v>
      </x:c>
      <x:c r="C977" t="str">
        <x:v>Water</x:v>
      </x:c>
      <x:c r="D977" t="str">
        <x:v>Independent retail</x:v>
      </x:c>
      <x:c r="E977" t="str">
        <x:v>VIC</x:v>
      </x:c>
      <x:c r="F977" s="11" t="n">
        <x:v>79095.78</x:v>
      </x:c>
      <x:c r="G977" s="13" t="n">
        <x:v>28033</x:v>
      </x:c>
      <x:c r="H977" s="11" t="n">
        <x:v>33458.08</x:v>
      </x:c>
      <x:c r="I977" s="11" t="n">
        <x:v>81461.18000000001</x:v>
      </x:c>
    </x:row>
    <x:row r="978">
      <x:c r="A978" t="n">
        <x:v>2024</x:v>
      </x:c>
      <x:c r="B978" t="str">
        <x:v>2024-01</x:v>
      </x:c>
      <x:c r="C978" t="str">
        <x:v>Water</x:v>
      </x:c>
      <x:c r="D978" t="str">
        <x:v>Petrol</x:v>
      </x:c>
      <x:c r="E978" t="str">
        <x:v>NSW</x:v>
      </x:c>
      <x:c r="F978" s="11" t="n">
        <x:v>94320.22</x:v>
      </x:c>
      <x:c r="G978" s="13" t="n">
        <x:v>29334</x:v>
      </x:c>
      <x:c r="H978" s="11" t="n">
        <x:v>45147.65</x:v>
      </x:c>
      <x:c r="I978" s="11" t="n">
        <x:v>93910.81</x:v>
      </x:c>
    </x:row>
    <x:row r="979">
      <x:c r="A979" t="n">
        <x:v>2024</x:v>
      </x:c>
      <x:c r="B979" t="str">
        <x:v>2024-01</x:v>
      </x:c>
      <x:c r="C979" t="str">
        <x:v>Water</x:v>
      </x:c>
      <x:c r="D979" t="str">
        <x:v>Petrol</x:v>
      </x:c>
      <x:c r="E979" t="str">
        <x:v>QLD</x:v>
      </x:c>
      <x:c r="F979" s="11" t="n">
        <x:v>88046.79</x:v>
      </x:c>
      <x:c r="G979" s="13" t="n">
        <x:v>28160</x:v>
      </x:c>
      <x:c r="H979" s="11" t="n">
        <x:v>41255.62</x:v>
      </x:c>
      <x:c r="I979" s="11" t="n">
        <x:v>90300.59999999999</x:v>
      </x:c>
    </x:row>
    <x:row r="980">
      <x:c r="A980" t="n">
        <x:v>2024</x:v>
      </x:c>
      <x:c r="B980" t="str">
        <x:v>2024-01</x:v>
      </x:c>
      <x:c r="C980" t="str">
        <x:v>Water</x:v>
      </x:c>
      <x:c r="D980" t="str">
        <x:v>Petrol</x:v>
      </x:c>
      <x:c r="E980" t="str">
        <x:v>VIC</x:v>
      </x:c>
      <x:c r="F980" s="11" t="n">
        <x:v>88484.06</x:v>
      </x:c>
      <x:c r="G980" s="13" t="n">
        <x:v>27572</x:v>
      </x:c>
      <x:c r="H980" s="11" t="n">
        <x:v>42406.47</x:v>
      </x:c>
      <x:c r="I980" s="11" t="n">
        <x:v>87595.19</x:v>
      </x:c>
    </x:row>
    <x:row r="981">
      <x:c r="A981" t="n">
        <x:v>2024</x:v>
      </x:c>
      <x:c r="B981" t="str">
        <x:v>2024-02</x:v>
      </x:c>
      <x:c r="C981" t="str">
        <x:v>Coffee</x:v>
      </x:c>
      <x:c r="D981" t="str">
        <x:v>Convenience</x:v>
      </x:c>
      <x:c r="E981" t="str">
        <x:v>NSW</x:v>
      </x:c>
      <x:c r="F981" s="11" t="n">
        <x:v>24405.13</x:v>
      </x:c>
      <x:c r="G981" s="13" t="n">
        <x:v>4521</x:v>
      </x:c>
      <x:c r="H981" s="11" t="n">
        <x:v>10838.53</x:v>
      </x:c>
      <x:c r="I981" s="11" t="n">
        <x:v>32255.94</x:v>
      </x:c>
    </x:row>
    <x:row r="982">
      <x:c r="A982" t="n">
        <x:v>2024</x:v>
      </x:c>
      <x:c r="B982" t="str">
        <x:v>2024-02</x:v>
      </x:c>
      <x:c r="C982" t="str">
        <x:v>Coffee</x:v>
      </x:c>
      <x:c r="D982" t="str">
        <x:v>Convenience</x:v>
      </x:c>
      <x:c r="E982" t="str">
        <x:v>QLD</x:v>
      </x:c>
      <x:c r="F982" s="11" t="n">
        <x:v>22095.94</x:v>
      </x:c>
      <x:c r="G982" s="13" t="n">
        <x:v>4280</x:v>
      </x:c>
      <x:c r="H982" s="11" t="n">
        <x:v>9182.79</x:v>
      </x:c>
      <x:c r="I982" s="11" t="n">
        <x:v>31040.7</x:v>
      </x:c>
    </x:row>
    <x:row r="983">
      <x:c r="A983" t="n">
        <x:v>2024</x:v>
      </x:c>
      <x:c r="B983" t="str">
        <x:v>2024-02</x:v>
      </x:c>
      <x:c r="C983" t="str">
        <x:v>Coffee</x:v>
      </x:c>
      <x:c r="D983" t="str">
        <x:v>Convenience</x:v>
      </x:c>
      <x:c r="E983" t="str">
        <x:v>VIC</x:v>
      </x:c>
      <x:c r="F983" s="11" t="n">
        <x:v>22221.85</x:v>
      </x:c>
      <x:c r="G983" s="13" t="n">
        <x:v>4214</x:v>
      </x:c>
      <x:c r="H983" s="11" t="n">
        <x:v>9605.02</x:v>
      </x:c>
      <x:c r="I983" s="11" t="n">
        <x:v>30084.53</x:v>
      </x:c>
    </x:row>
    <x:row r="984">
      <x:c r="A984" t="n">
        <x:v>2024</x:v>
      </x:c>
      <x:c r="B984" t="str">
        <x:v>2024-02</x:v>
      </x:c>
      <x:c r="C984" t="str">
        <x:v>Coffee</x:v>
      </x:c>
      <x:c r="D984" t="str">
        <x:v>Grocery</x:v>
      </x:c>
      <x:c r="E984" t="str">
        <x:v>NSW</x:v>
      </x:c>
      <x:c r="F984" s="11" t="n">
        <x:v>59496.39</x:v>
      </x:c>
      <x:c r="G984" s="13" t="n">
        <x:v>13476</x:v>
      </x:c>
      <x:c r="H984" s="11" t="n">
        <x:v>19082.22</x:v>
      </x:c>
      <x:c r="I984" s="11" t="n">
        <x:v>80132.63</x:v>
      </x:c>
    </x:row>
    <x:row r="985">
      <x:c r="A985" t="n">
        <x:v>2024</x:v>
      </x:c>
      <x:c r="B985" t="str">
        <x:v>2024-02</x:v>
      </x:c>
      <x:c r="C985" t="str">
        <x:v>Coffee</x:v>
      </x:c>
      <x:c r="D985" t="str">
        <x:v>Grocery</x:v>
      </x:c>
      <x:c r="E985" t="str">
        <x:v>QLD</x:v>
      </x:c>
      <x:c r="F985" s="11" t="n">
        <x:v>55602.72</x:v>
      </x:c>
      <x:c r="G985" s="13" t="n">
        <x:v>12097</x:v>
      </x:c>
      <x:c r="H985" s="11" t="n">
        <x:v>19533.4</x:v>
      </x:c>
      <x:c r="I985" s="11" t="n">
        <x:v>77054.1</x:v>
      </x:c>
    </x:row>
    <x:row r="986">
      <x:c r="A986" t="n">
        <x:v>2024</x:v>
      </x:c>
      <x:c r="B986" t="str">
        <x:v>2024-02</x:v>
      </x:c>
      <x:c r="C986" t="str">
        <x:v>Coffee</x:v>
      </x:c>
      <x:c r="D986" t="str">
        <x:v>Grocery</x:v>
      </x:c>
      <x:c r="E986" t="str">
        <x:v>VIC</x:v>
      </x:c>
      <x:c r="F986" s="11" t="n">
        <x:v>56387.61</x:v>
      </x:c>
      <x:c r="G986" s="13" t="n">
        <x:v>12382</x:v>
      </x:c>
      <x:c r="H986" s="11" t="n">
        <x:v>19158.7</x:v>
      </x:c>
      <x:c r="I986" s="11" t="n">
        <x:v>74733.6</x:v>
      </x:c>
    </x:row>
    <x:row r="987">
      <x:c r="A987" t="n">
        <x:v>2024</x:v>
      </x:c>
      <x:c r="B987" t="str">
        <x:v>2024-02</x:v>
      </x:c>
      <x:c r="C987" t="str">
        <x:v>Coffee</x:v>
      </x:c>
      <x:c r="D987" t="str">
        <x:v>Hospitality</x:v>
      </x:c>
      <x:c r="E987" t="str">
        <x:v>NSW</x:v>
      </x:c>
      <x:c r="F987" s="11" t="n">
        <x:v>7358.56</x:v>
      </x:c>
      <x:c r="G987" s="13" t="n">
        <x:v>1775</x:v>
      </x:c>
      <x:c r="H987" s="11" t="n">
        <x:v>2070.24</x:v>
      </x:c>
      <x:c r="I987" s="11" t="n">
        <x:v>10074.8</x:v>
      </x:c>
    </x:row>
    <x:row r="988">
      <x:c r="A988" t="n">
        <x:v>2024</x:v>
      </x:c>
      <x:c r="B988" t="str">
        <x:v>2024-02</x:v>
      </x:c>
      <x:c r="C988" t="str">
        <x:v>Coffee</x:v>
      </x:c>
      <x:c r="D988" t="str">
        <x:v>Hospitality</x:v>
      </x:c>
      <x:c r="E988" t="str">
        <x:v>QLD</x:v>
      </x:c>
      <x:c r="F988" s="11" t="n">
        <x:v>7546.06</x:v>
      </x:c>
      <x:c r="G988" s="13" t="n">
        <x:v>1771</x:v>
      </x:c>
      <x:c r="H988" s="11" t="n">
        <x:v>2255.63</x:v>
      </x:c>
      <x:c r="I988" s="11" t="n">
        <x:v>9705.05</x:v>
      </x:c>
    </x:row>
    <x:row r="989">
      <x:c r="A989" t="n">
        <x:v>2024</x:v>
      </x:c>
      <x:c r="B989" t="str">
        <x:v>2024-02</x:v>
      </x:c>
      <x:c r="C989" t="str">
        <x:v>Coffee</x:v>
      </x:c>
      <x:c r="D989" t="str">
        <x:v>Hospitality</x:v>
      </x:c>
      <x:c r="E989" t="str">
        <x:v>VIC</x:v>
      </x:c>
      <x:c r="F989" s="11" t="n">
        <x:v>6998.05</x:v>
      </x:c>
      <x:c r="G989" s="13" t="n">
        <x:v>1649</x:v>
      </x:c>
      <x:c r="H989" s="11" t="n">
        <x:v>2066.39</x:v>
      </x:c>
      <x:c r="I989" s="11" t="n">
        <x:v>9348.23</x:v>
      </x:c>
    </x:row>
    <x:row r="990">
      <x:c r="A990" t="n">
        <x:v>2024</x:v>
      </x:c>
      <x:c r="B990" t="str">
        <x:v>2024-02</x:v>
      </x:c>
      <x:c r="C990" t="str">
        <x:v>Coffee</x:v>
      </x:c>
      <x:c r="D990" t="str">
        <x:v>Independent retail</x:v>
      </x:c>
      <x:c r="E990" t="str">
        <x:v>NSW</x:v>
      </x:c>
      <x:c r="F990" s="11" t="n">
        <x:v>19830.52</x:v>
      </x:c>
      <x:c r="G990" s="13" t="n">
        <x:v>4274</x:v>
      </x:c>
      <x:c r="H990" s="11" t="n">
        <x:v>7097.85</x:v>
      </x:c>
      <x:c r="I990" s="11" t="n">
        <x:v>27241.65</x:v>
      </x:c>
    </x:row>
    <x:row r="991">
      <x:c r="A991" t="n">
        <x:v>2024</x:v>
      </x:c>
      <x:c r="B991" t="str">
        <x:v>2024-02</x:v>
      </x:c>
      <x:c r="C991" t="str">
        <x:v>Coffee</x:v>
      </x:c>
      <x:c r="D991" t="str">
        <x:v>Independent retail</x:v>
      </x:c>
      <x:c r="E991" t="str">
        <x:v>QLD</x:v>
      </x:c>
      <x:c r="F991" s="11" t="n">
        <x:v>19065.11</x:v>
      </x:c>
      <x:c r="G991" s="13" t="n">
        <x:v>4221</x:v>
      </x:c>
      <x:c r="H991" s="11" t="n">
        <x:v>6295.15</x:v>
      </x:c>
      <x:c r="I991" s="11" t="n">
        <x:v>26191.24</x:v>
      </x:c>
    </x:row>
    <x:row r="992">
      <x:c r="A992" t="n">
        <x:v>2024</x:v>
      </x:c>
      <x:c r="B992" t="str">
        <x:v>2024-02</x:v>
      </x:c>
      <x:c r="C992" t="str">
        <x:v>Coffee</x:v>
      </x:c>
      <x:c r="D992" t="str">
        <x:v>Independent retail</x:v>
      </x:c>
      <x:c r="E992" t="str">
        <x:v>VIC</x:v>
      </x:c>
      <x:c r="F992" s="11" t="n">
        <x:v>18633.54</x:v>
      </x:c>
      <x:c r="G992" s="13" t="n">
        <x:v>4035</x:v>
      </x:c>
      <x:c r="H992" s="11" t="n">
        <x:v>6390.26</x:v>
      </x:c>
      <x:c r="I992" s="11" t="n">
        <x:v>25375.03</x:v>
      </x:c>
    </x:row>
    <x:row r="993">
      <x:c r="A993" t="n">
        <x:v>2024</x:v>
      </x:c>
      <x:c r="B993" t="str">
        <x:v>2024-02</x:v>
      </x:c>
      <x:c r="C993" t="str">
        <x:v>Coffee</x:v>
      </x:c>
      <x:c r="D993" t="str">
        <x:v>Petrol</x:v>
      </x:c>
      <x:c r="E993" t="str">
        <x:v>NSW</x:v>
      </x:c>
      <x:c r="F993" s="11" t="n">
        <x:v>21695.18</x:v>
      </x:c>
      <x:c r="G993" s="13" t="n">
        <x:v>4474</x:v>
      </x:c>
      <x:c r="H993" s="11" t="n">
        <x:v>8270.72</x:v>
      </x:c>
      <x:c r="I993" s="11" t="n">
        <x:v>29348.73</x:v>
      </x:c>
    </x:row>
    <x:row r="994">
      <x:c r="A994" t="n">
        <x:v>2024</x:v>
      </x:c>
      <x:c r="B994" t="str">
        <x:v>2024-02</x:v>
      </x:c>
      <x:c r="C994" t="str">
        <x:v>Coffee</x:v>
      </x:c>
      <x:c r="D994" t="str">
        <x:v>Petrol</x:v>
      </x:c>
      <x:c r="E994" t="str">
        <x:v>QLD</x:v>
      </x:c>
      <x:c r="F994" s="11" t="n">
        <x:v>20634.12</x:v>
      </x:c>
      <x:c r="G994" s="13" t="n">
        <x:v>4220</x:v>
      </x:c>
      <x:c r="H994" s="11" t="n">
        <x:v>8042.71</x:v>
      </x:c>
      <x:c r="I994" s="11" t="n">
        <x:v>28229.47</x:v>
      </x:c>
    </x:row>
    <x:row r="995">
      <x:c r="A995" t="n">
        <x:v>2024</x:v>
      </x:c>
      <x:c r="B995" t="str">
        <x:v>2024-02</x:v>
      </x:c>
      <x:c r="C995" t="str">
        <x:v>Coffee</x:v>
      </x:c>
      <x:c r="D995" t="str">
        <x:v>Petrol</x:v>
      </x:c>
      <x:c r="E995" t="str">
        <x:v>VIC</x:v>
      </x:c>
      <x:c r="F995" s="11" t="n">
        <x:v>20010.51</x:v>
      </x:c>
      <x:c r="G995" s="13" t="n">
        <x:v>4106</x:v>
      </x:c>
      <x:c r="H995" s="11" t="n">
        <x:v>7640.97</x:v>
      </x:c>
      <x:c r="I995" s="11" t="n">
        <x:v>27375.7</x:v>
      </x:c>
    </x:row>
    <x:row r="996">
      <x:c r="A996" t="n">
        <x:v>2024</x:v>
      </x:c>
      <x:c r="B996" t="str">
        <x:v>2024-02</x:v>
      </x:c>
      <x:c r="C996" t="str">
        <x:v>Energy</x:v>
      </x:c>
      <x:c r="D996" t="str">
        <x:v>Convenience</x:v>
      </x:c>
      <x:c r="E996" t="str">
        <x:v>NSW</x:v>
      </x:c>
      <x:c r="F996" s="11" t="n">
        <x:v>85434.84</x:v>
      </x:c>
      <x:c r="G996" s="13" t="n">
        <x:v>15337</x:v>
      </x:c>
      <x:c r="H996" s="11" t="n">
        <x:v>50535.84</x:v>
      </x:c>
      <x:c r="I996" s="11" t="n">
        <x:v>118866.14</x:v>
      </x:c>
    </x:row>
    <x:row r="997">
      <x:c r="A997" t="n">
        <x:v>2024</x:v>
      </x:c>
      <x:c r="B997" t="str">
        <x:v>2024-02</x:v>
      </x:c>
      <x:c r="C997" t="str">
        <x:v>Energy</x:v>
      </x:c>
      <x:c r="D997" t="str">
        <x:v>Convenience</x:v>
      </x:c>
      <x:c r="E997" t="str">
        <x:v>QLD</x:v>
      </x:c>
      <x:c r="F997" s="11" t="n">
        <x:v>85817.12</x:v>
      </x:c>
      <x:c r="G997" s="13" t="n">
        <x:v>15989</x:v>
      </x:c>
      <x:c r="H997" s="11" t="n">
        <x:v>50505.35</x:v>
      </x:c>
      <x:c r="I997" s="11" t="n">
        <x:v>114310.24</x:v>
      </x:c>
    </x:row>
    <x:row r="998">
      <x:c r="A998" t="n">
        <x:v>2024</x:v>
      </x:c>
      <x:c r="B998" t="str">
        <x:v>2024-02</x:v>
      </x:c>
      <x:c r="C998" t="str">
        <x:v>Energy</x:v>
      </x:c>
      <x:c r="D998" t="str">
        <x:v>Convenience</x:v>
      </x:c>
      <x:c r="E998" t="str">
        <x:v>VIC</x:v>
      </x:c>
      <x:c r="F998" s="11" t="n">
        <x:v>84074</x:v>
      </x:c>
      <x:c r="G998" s="13" t="n">
        <x:v>15640</x:v>
      </x:c>
      <x:c r="H998" s="11" t="n">
        <x:v>49099.31</x:v>
      </x:c>
      <x:c r="I998" s="11" t="n">
        <x:v>110875.52</x:v>
      </x:c>
    </x:row>
    <x:row r="999">
      <x:c r="A999" t="n">
        <x:v>2024</x:v>
      </x:c>
      <x:c r="B999" t="str">
        <x:v>2024-02</x:v>
      </x:c>
      <x:c r="C999" t="str">
        <x:v>Energy</x:v>
      </x:c>
      <x:c r="D999" t="str">
        <x:v>Grocery</x:v>
      </x:c>
      <x:c r="E999" t="str">
        <x:v>NSW</x:v>
      </x:c>
      <x:c r="F999" s="11" t="n">
        <x:v>325043.85</x:v>
      </x:c>
      <x:c r="G999" s="13" t="n">
        <x:v>67520</x:v>
      </x:c>
      <x:c r="H999" s="11" t="n">
        <x:v>176277.71</x:v>
      </x:c>
      <x:c r="I999" s="11" t="n">
        <x:v>295929.98</x:v>
      </x:c>
    </x:row>
    <x:row r="1000">
      <x:c r="A1000" t="n">
        <x:v>2024</x:v>
      </x:c>
      <x:c r="B1000" t="str">
        <x:v>2024-02</x:v>
      </x:c>
      <x:c r="C1000" t="str">
        <x:v>Energy</x:v>
      </x:c>
      <x:c r="D1000" t="str">
        <x:v>Grocery</x:v>
      </x:c>
      <x:c r="E1000" t="str">
        <x:v>QLD</x:v>
      </x:c>
      <x:c r="F1000" s="11" t="n">
        <x:v>324197.35</x:v>
      </x:c>
      <x:c r="G1000" s="13" t="n">
        <x:v>66317</x:v>
      </x:c>
      <x:c r="H1000" s="11" t="n">
        <x:v>171601.21</x:v>
      </x:c>
      <x:c r="I1000" s="11" t="n">
        <x:v>284579.49</x:v>
      </x:c>
    </x:row>
    <x:row r="1001">
      <x:c r="A1001" t="n">
        <x:v>2024</x:v>
      </x:c>
      <x:c r="B1001" t="str">
        <x:v>2024-02</x:v>
      </x:c>
      <x:c r="C1001" t="str">
        <x:v>Energy</x:v>
      </x:c>
      <x:c r="D1001" t="str">
        <x:v>Grocery</x:v>
      </x:c>
      <x:c r="E1001" t="str">
        <x:v>VIC</x:v>
      </x:c>
      <x:c r="F1001" s="11" t="n">
        <x:v>317261.66</x:v>
      </x:c>
      <x:c r="G1001" s="13" t="n">
        <x:v>65759</x:v>
      </x:c>
      <x:c r="H1001" s="11" t="n">
        <x:v>170352.36000000002</x:v>
      </x:c>
      <x:c r="I1001" s="11" t="n">
        <x:v>276034.46</x:v>
      </x:c>
    </x:row>
    <x:row r="1002">
      <x:c r="A1002" t="n">
        <x:v>2024</x:v>
      </x:c>
      <x:c r="B1002" t="str">
        <x:v>2024-02</x:v>
      </x:c>
      <x:c r="C1002" t="str">
        <x:v>Energy</x:v>
      </x:c>
      <x:c r="D1002" t="str">
        <x:v>Hospitality</x:v>
      </x:c>
      <x:c r="E1002" t="str">
        <x:v>NSW</x:v>
      </x:c>
      <x:c r="F1002" s="11" t="n">
        <x:v>42485.21</x:v>
      </x:c>
      <x:c r="G1002" s="13" t="n">
        <x:v>9480</x:v>
      </x:c>
      <x:c r="H1002" s="11" t="n">
        <x:v>21122.14</x:v>
      </x:c>
      <x:c r="I1002" s="11" t="n">
        <x:v>37026.53</x:v>
      </x:c>
    </x:row>
    <x:row r="1003">
      <x:c r="A1003" t="n">
        <x:v>2024</x:v>
      </x:c>
      <x:c r="B1003" t="str">
        <x:v>2024-02</x:v>
      </x:c>
      <x:c r="C1003" t="str">
        <x:v>Energy</x:v>
      </x:c>
      <x:c r="D1003" t="str">
        <x:v>Hospitality</x:v>
      </x:c>
      <x:c r="E1003" t="str">
        <x:v>QLD</x:v>
      </x:c>
      <x:c r="F1003" s="11" t="n">
        <x:v>40674.44</x:v>
      </x:c>
      <x:c r="G1003" s="13" t="n">
        <x:v>9373</x:v>
      </x:c>
      <x:c r="H1003" s="11" t="n">
        <x:v>19686.76</x:v>
      </x:c>
      <x:c r="I1003" s="11" t="n">
        <x:v>35618.71</x:v>
      </x:c>
    </x:row>
    <x:row r="1004">
      <x:c r="A1004" t="n">
        <x:v>2024</x:v>
      </x:c>
      <x:c r="B1004" t="str">
        <x:v>2024-02</x:v>
      </x:c>
      <x:c r="C1004" t="str">
        <x:v>Energy</x:v>
      </x:c>
      <x:c r="D1004" t="str">
        <x:v>Hospitality</x:v>
      </x:c>
      <x:c r="E1004" t="str">
        <x:v>VIC</x:v>
      </x:c>
      <x:c r="F1004" s="11" t="n">
        <x:v>38820.23</x:v>
      </x:c>
      <x:c r="G1004" s="13" t="n">
        <x:v>8781</x:v>
      </x:c>
      <x:c r="H1004" s="11" t="n">
        <x:v>18974.52</x:v>
      </x:c>
      <x:c r="I1004" s="11" t="n">
        <x:v>34524.78</x:v>
      </x:c>
    </x:row>
    <x:row r="1005">
      <x:c r="A1005" t="n">
        <x:v>2024</x:v>
      </x:c>
      <x:c r="B1005" t="str">
        <x:v>2024-02</x:v>
      </x:c>
      <x:c r="C1005" t="str">
        <x:v>Energy</x:v>
      </x:c>
      <x:c r="D1005" t="str">
        <x:v>Independent retail</x:v>
      </x:c>
      <x:c r="E1005" t="str">
        <x:v>NSW</x:v>
      </x:c>
      <x:c r="F1005" s="11" t="n">
        <x:v>115570.9</x:v>
      </x:c>
      <x:c r="G1005" s="13" t="n">
        <x:v>23940</x:v>
      </x:c>
      <x:c r="H1005" s="11" t="n">
        <x:v>61684.23</x:v>
      </x:c>
      <x:c r="I1005" s="11" t="n">
        <x:v>100573.12</x:v>
      </x:c>
    </x:row>
    <x:row r="1006">
      <x:c r="A1006" t="n">
        <x:v>2024</x:v>
      </x:c>
      <x:c r="B1006" t="str">
        <x:v>2024-02</x:v>
      </x:c>
      <x:c r="C1006" t="str">
        <x:v>Energy</x:v>
      </x:c>
      <x:c r="D1006" t="str">
        <x:v>Independent retail</x:v>
      </x:c>
      <x:c r="E1006" t="str">
        <x:v>QLD</x:v>
      </x:c>
      <x:c r="F1006" s="11" t="n">
        <x:v>108827.73</x:v>
      </x:c>
      <x:c r="G1006" s="13" t="n">
        <x:v>22663</x:v>
      </x:c>
      <x:c r="H1006" s="11" t="n">
        <x:v>59307.76</x:v>
      </x:c>
      <x:c r="I1006" s="11" t="n">
        <x:v>96707.06</x:v>
      </x:c>
    </x:row>
    <x:row r="1007">
      <x:c r="A1007" t="n">
        <x:v>2024</x:v>
      </x:c>
      <x:c r="B1007" t="str">
        <x:v>2024-02</x:v>
      </x:c>
      <x:c r="C1007" t="str">
        <x:v>Energy</x:v>
      </x:c>
      <x:c r="D1007" t="str">
        <x:v>Independent retail</x:v>
      </x:c>
      <x:c r="E1007" t="str">
        <x:v>VIC</x:v>
      </x:c>
      <x:c r="F1007" s="11" t="n">
        <x:v>108196.2</x:v>
      </x:c>
      <x:c r="G1007" s="13" t="n">
        <x:v>22477</x:v>
      </x:c>
      <x:c r="H1007" s="11" t="n">
        <x:v>58343.16</x:v>
      </x:c>
      <x:c r="I1007" s="11" t="n">
        <x:v>93811.59</x:v>
      </x:c>
    </x:row>
    <x:row r="1008">
      <x:c r="A1008" t="n">
        <x:v>2024</x:v>
      </x:c>
      <x:c r="B1008" t="str">
        <x:v>2024-02</x:v>
      </x:c>
      <x:c r="C1008" t="str">
        <x:v>Energy</x:v>
      </x:c>
      <x:c r="D1008" t="str">
        <x:v>Petrol</x:v>
      </x:c>
      <x:c r="E1008" t="str">
        <x:v>NSW</x:v>
      </x:c>
      <x:c r="F1008" s="11" t="n">
        <x:v>123681.88</x:v>
      </x:c>
      <x:c r="G1008" s="13" t="n">
        <x:v>23346</x:v>
      </x:c>
      <x:c r="H1008" s="11" t="n">
        <x:v>72140.33</x:v>
      </x:c>
      <x:c r="I1008" s="11" t="n">
        <x:v>108405.13</x:v>
      </x:c>
    </x:row>
    <x:row r="1009">
      <x:c r="A1009" t="n">
        <x:v>2024</x:v>
      </x:c>
      <x:c r="B1009" t="str">
        <x:v>2024-02</x:v>
      </x:c>
      <x:c r="C1009" t="str">
        <x:v>Energy</x:v>
      </x:c>
      <x:c r="D1009" t="str">
        <x:v>Petrol</x:v>
      </x:c>
      <x:c r="E1009" t="str">
        <x:v>QLD</x:v>
      </x:c>
      <x:c r="F1009" s="11" t="n">
        <x:v>117818.41</x:v>
      </x:c>
      <x:c r="G1009" s="13" t="n">
        <x:v>21487</x:v>
      </x:c>
      <x:c r="H1009" s="11" t="n">
        <x:v>69767.01</x:v>
      </x:c>
      <x:c r="I1009" s="11" t="n">
        <x:v>104241.87</x:v>
      </x:c>
    </x:row>
    <x:row r="1010">
      <x:c r="A1010" t="n">
        <x:v>2024</x:v>
      </x:c>
      <x:c r="B1010" t="str">
        <x:v>2024-02</x:v>
      </x:c>
      <x:c r="C1010" t="str">
        <x:v>Energy</x:v>
      </x:c>
      <x:c r="D1010" t="str">
        <x:v>Petrol</x:v>
      </x:c>
      <x:c r="E1010" t="str">
        <x:v>VIC</x:v>
      </x:c>
      <x:c r="F1010" s="11" t="n">
        <x:v>117148.01</x:v>
      </x:c>
      <x:c r="G1010" s="13" t="n">
        <x:v>21803</x:v>
      </x:c>
      <x:c r="H1010" s="11" t="n">
        <x:v>68804.33</x:v>
      </x:c>
      <x:c r="I1010" s="11" t="n">
        <x:v>101141.34</x:v>
      </x:c>
    </x:row>
    <x:row r="1011">
      <x:c r="A1011" t="n">
        <x:v>2024</x:v>
      </x:c>
      <x:c r="B1011" t="str">
        <x:v>2024-02</x:v>
      </x:c>
      <x:c r="C1011" t="str">
        <x:v>Sparkling</x:v>
      </x:c>
      <x:c r="D1011" t="str">
        <x:v>Convenience</x:v>
      </x:c>
      <x:c r="E1011" t="str">
        <x:v>NSW</x:v>
      </x:c>
      <x:c r="F1011" s="11" t="n">
        <x:v>142373.77</x:v>
      </x:c>
      <x:c r="G1011" s="13" t="n">
        <x:v>34996</x:v>
      </x:c>
      <x:c r="H1011" s="11" t="n">
        <x:v>76811.1</x:v>
      </x:c>
      <x:c r="I1011" s="11" t="n">
        <x:v>144511.77</x:v>
      </x:c>
    </x:row>
    <x:row r="1012">
      <x:c r="A1012" t="n">
        <x:v>2024</x:v>
      </x:c>
      <x:c r="B1012" t="str">
        <x:v>2024-02</x:v>
      </x:c>
      <x:c r="C1012" t="str">
        <x:v>Sparkling</x:v>
      </x:c>
      <x:c r="D1012" t="str">
        <x:v>Convenience</x:v>
      </x:c>
      <x:c r="E1012" t="str">
        <x:v>QLD</x:v>
      </x:c>
      <x:c r="F1012" s="11" t="n">
        <x:v>136390.45</x:v>
      </x:c>
      <x:c r="G1012" s="13" t="n">
        <x:v>32482</x:v>
      </x:c>
      <x:c r="H1012" s="11" t="n">
        <x:v>75103.38</x:v>
      </x:c>
      <x:c r="I1012" s="11" t="n">
        <x:v>138943.2</x:v>
      </x:c>
    </x:row>
    <x:row r="1013">
      <x:c r="A1013" t="n">
        <x:v>2024</x:v>
      </x:c>
      <x:c r="B1013" t="str">
        <x:v>2024-02</x:v>
      </x:c>
      <x:c r="C1013" t="str">
        <x:v>Sparkling</x:v>
      </x:c>
      <x:c r="D1013" t="str">
        <x:v>Convenience</x:v>
      </x:c>
      <x:c r="E1013" t="str">
        <x:v>VIC</x:v>
      </x:c>
      <x:c r="F1013" s="11" t="n">
        <x:v>133798.08</x:v>
      </x:c>
      <x:c r="G1013" s="13" t="n">
        <x:v>31963</x:v>
      </x:c>
      <x:c r="H1013" s="11" t="n">
        <x:v>73172.45</x:v>
      </x:c>
      <x:c r="I1013" s="11" t="n">
        <x:v>134781.04</x:v>
      </x:c>
    </x:row>
    <x:row r="1014">
      <x:c r="A1014" t="n">
        <x:v>2024</x:v>
      </x:c>
      <x:c r="B1014" t="str">
        <x:v>2024-02</x:v>
      </x:c>
      <x:c r="C1014" t="str">
        <x:v>Sparkling</x:v>
      </x:c>
      <x:c r="D1014" t="str">
        <x:v>Grocery</x:v>
      </x:c>
      <x:c r="E1014" t="str">
        <x:v>NSW</x:v>
      </x:c>
      <x:c r="F1014" s="11" t="n">
        <x:v>357750.34</x:v>
      </x:c>
      <x:c r="G1014" s="13" t="n">
        <x:v>99567</x:v>
      </x:c>
      <x:c r="H1014" s="11" t="n">
        <x:v>168046.67</x:v>
      </x:c>
      <x:c r="I1014" s="11" t="n">
        <x:v>359290.97</x:v>
      </x:c>
    </x:row>
    <x:row r="1015">
      <x:c r="A1015" t="n">
        <x:v>2024</x:v>
      </x:c>
      <x:c r="B1015" t="str">
        <x:v>2024-02</x:v>
      </x:c>
      <x:c r="C1015" t="str">
        <x:v>Sparkling</x:v>
      </x:c>
      <x:c r="D1015" t="str">
        <x:v>Grocery</x:v>
      </x:c>
      <x:c r="E1015" t="str">
        <x:v>QLD</x:v>
      </x:c>
      <x:c r="F1015" s="11" t="n">
        <x:v>343307.96</x:v>
      </x:c>
      <x:c r="G1015" s="13" t="n">
        <x:v>97388</x:v>
      </x:c>
      <x:c r="H1015" s="11" t="n">
        <x:v>158877.45</x:v>
      </x:c>
      <x:c r="I1015" s="11" t="n">
        <x:v>345454.12</x:v>
      </x:c>
    </x:row>
    <x:row r="1016">
      <x:c r="A1016" t="n">
        <x:v>2024</x:v>
      </x:c>
      <x:c r="B1016" t="str">
        <x:v>2024-02</x:v>
      </x:c>
      <x:c r="C1016" t="str">
        <x:v>Sparkling</x:v>
      </x:c>
      <x:c r="D1016" t="str">
        <x:v>Grocery</x:v>
      </x:c>
      <x:c r="E1016" t="str">
        <x:v>VIC</x:v>
      </x:c>
      <x:c r="F1016" s="11" t="n">
        <x:v>323253.23</x:v>
      </x:c>
      <x:c r="G1016" s="13" t="n">
        <x:v>91753</x:v>
      </x:c>
      <x:c r="H1016" s="11" t="n">
        <x:v>150393.69</x:v>
      </x:c>
      <x:c r="I1016" s="11" t="n">
        <x:v>335096.38</x:v>
      </x:c>
    </x:row>
    <x:row r="1017">
      <x:c r="A1017" t="n">
        <x:v>2024</x:v>
      </x:c>
      <x:c r="B1017" t="str">
        <x:v>2024-02</x:v>
      </x:c>
      <x:c r="C1017" t="str">
        <x:v>Sparkling</x:v>
      </x:c>
      <x:c r="D1017" t="str">
        <x:v>Hospitality</x:v>
      </x:c>
      <x:c r="E1017" t="str">
        <x:v>NSW</x:v>
      </x:c>
      <x:c r="F1017" s="11" t="n">
        <x:v>44816.48</x:v>
      </x:c>
      <x:c r="G1017" s="13" t="n">
        <x:v>13707</x:v>
      </x:c>
      <x:c r="H1017" s="11" t="n">
        <x:v>18770.2</x:v>
      </x:c>
      <x:c r="I1017" s="11" t="n">
        <x:v>44931.41</x:v>
      </x:c>
    </x:row>
    <x:row r="1018">
      <x:c r="A1018" t="n">
        <x:v>2024</x:v>
      </x:c>
      <x:c r="B1018" t="str">
        <x:v>2024-02</x:v>
      </x:c>
      <x:c r="C1018" t="str">
        <x:v>Sparkling</x:v>
      </x:c>
      <x:c r="D1018" t="str">
        <x:v>Hospitality</x:v>
      </x:c>
      <x:c r="E1018" t="str">
        <x:v>QLD</x:v>
      </x:c>
      <x:c r="F1018" s="11" t="n">
        <x:v>43169.78</x:v>
      </x:c>
      <x:c r="G1018" s="13" t="n">
        <x:v>13241</x:v>
      </x:c>
      <x:c r="H1018" s="11" t="n">
        <x:v>18162.96</x:v>
      </x:c>
      <x:c r="I1018" s="11" t="n">
        <x:v>43221.44</x:v>
      </x:c>
    </x:row>
    <x:row r="1019">
      <x:c r="A1019" t="n">
        <x:v>2024</x:v>
      </x:c>
      <x:c r="B1019" t="str">
        <x:v>2024-02</x:v>
      </x:c>
      <x:c r="C1019" t="str">
        <x:v>Sparkling</x:v>
      </x:c>
      <x:c r="D1019" t="str">
        <x:v>Hospitality</x:v>
      </x:c>
      <x:c r="E1019" t="str">
        <x:v>VIC</x:v>
      </x:c>
      <x:c r="F1019" s="11" t="n">
        <x:v>42357.66</x:v>
      </x:c>
      <x:c r="G1019" s="13" t="n">
        <x:v>13163</x:v>
      </x:c>
      <x:c r="H1019" s="11" t="n">
        <x:v>17534.52</x:v>
      </x:c>
      <x:c r="I1019" s="11" t="n">
        <x:v>41936.36</x:v>
      </x:c>
    </x:row>
    <x:row r="1020">
      <x:c r="A1020" t="n">
        <x:v>2024</x:v>
      </x:c>
      <x:c r="B1020" t="str">
        <x:v>2024-02</x:v>
      </x:c>
      <x:c r="C1020" t="str">
        <x:v>Sparkling</x:v>
      </x:c>
      <x:c r="D1020" t="str">
        <x:v>Independent retail</x:v>
      </x:c>
      <x:c r="E1020" t="str">
        <x:v>NSW</x:v>
      </x:c>
      <x:c r="F1020" s="11" t="n">
        <x:v>119232.01</x:v>
      </x:c>
      <x:c r="G1020" s="13" t="n">
        <x:v>32556</x:v>
      </x:c>
      <x:c r="H1020" s="11" t="n">
        <x:v>58392.47</x:v>
      </x:c>
      <x:c r="I1020" s="11" t="n">
        <x:v>122248.65</x:v>
      </x:c>
    </x:row>
    <x:row r="1021">
      <x:c r="A1021" t="n">
        <x:v>2024</x:v>
      </x:c>
      <x:c r="B1021" t="str">
        <x:v>2024-02</x:v>
      </x:c>
      <x:c r="C1021" t="str">
        <x:v>Sparkling</x:v>
      </x:c>
      <x:c r="D1021" t="str">
        <x:v>Independent retail</x:v>
      </x:c>
      <x:c r="E1021" t="str">
        <x:v>QLD</x:v>
      </x:c>
      <x:c r="F1021" s="11" t="n">
        <x:v>114299.17</x:v>
      </x:c>
      <x:c r="G1021" s="13" t="n">
        <x:v>30780</x:v>
      </x:c>
      <x:c r="H1021" s="11" t="n">
        <x:v>56722.95</x:v>
      </x:c>
      <x:c r="I1021" s="11" t="n">
        <x:v>117558.37</x:v>
      </x:c>
    </x:row>
    <x:row r="1022">
      <x:c r="A1022" t="n">
        <x:v>2024</x:v>
      </x:c>
      <x:c r="B1022" t="str">
        <x:v>2024-02</x:v>
      </x:c>
      <x:c r="C1022" t="str">
        <x:v>Sparkling</x:v>
      </x:c>
      <x:c r="D1022" t="str">
        <x:v>Independent retail</x:v>
      </x:c>
      <x:c r="E1022" t="str">
        <x:v>VIC</x:v>
      </x:c>
      <x:c r="F1022" s="11" t="n">
        <x:v>109558.31</x:v>
      </x:c>
      <x:c r="G1022" s="13" t="n">
        <x:v>29913</x:v>
      </x:c>
      <x:c r="H1022" s="11" t="n">
        <x:v>54055.08</x:v>
      </x:c>
      <x:c r="I1022" s="11" t="n">
        <x:v>114035.25</x:v>
      </x:c>
    </x:row>
    <x:row r="1023">
      <x:c r="A1023" t="n">
        <x:v>2024</x:v>
      </x:c>
      <x:c r="B1023" t="str">
        <x:v>2024-02</x:v>
      </x:c>
      <x:c r="C1023" t="str">
        <x:v>Sparkling</x:v>
      </x:c>
      <x:c r="D1023" t="str">
        <x:v>Petrol</x:v>
      </x:c>
      <x:c r="E1023" t="str">
        <x:v>NSW</x:v>
      </x:c>
      <x:c r="F1023" s="11" t="n">
        <x:v>130523.57</x:v>
      </x:c>
      <x:c r="G1023" s="13" t="n">
        <x:v>32204</x:v>
      </x:c>
      <x:c r="H1023" s="11" t="n">
        <x:v>70022.43</x:v>
      </x:c>
      <x:c r="I1023" s="11" t="n">
        <x:v>131752.97</x:v>
      </x:c>
    </x:row>
    <x:row r="1024">
      <x:c r="A1024" t="n">
        <x:v>2024</x:v>
      </x:c>
      <x:c r="B1024" t="str">
        <x:v>2024-02</x:v>
      </x:c>
      <x:c r="C1024" t="str">
        <x:v>Sparkling</x:v>
      </x:c>
      <x:c r="D1024" t="str">
        <x:v>Petrol</x:v>
      </x:c>
      <x:c r="E1024" t="str">
        <x:v>QLD</x:v>
      </x:c>
      <x:c r="F1024" s="11" t="n">
        <x:v>123073.73</x:v>
      </x:c>
      <x:c r="G1024" s="13" t="n">
        <x:v>30677</x:v>
      </x:c>
      <x:c r="H1024" s="11" t="n">
        <x:v>64874.78</x:v>
      </x:c>
      <x:c r="I1024" s="11" t="n">
        <x:v>126705.27</x:v>
      </x:c>
    </x:row>
    <x:row r="1025">
      <x:c r="A1025" t="n">
        <x:v>2024</x:v>
      </x:c>
      <x:c r="B1025" t="str">
        <x:v>2024-02</x:v>
      </x:c>
      <x:c r="C1025" t="str">
        <x:v>Sparkling</x:v>
      </x:c>
      <x:c r="D1025" t="str">
        <x:v>Petrol</x:v>
      </x:c>
      <x:c r="E1025" t="str">
        <x:v>VIC</x:v>
      </x:c>
      <x:c r="F1025" s="11" t="n">
        <x:v>120404.43</x:v>
      </x:c>
      <x:c r="G1025" s="13" t="n">
        <x:v>29777</x:v>
      </x:c>
      <x:c r="H1025" s="11" t="n">
        <x:v>64386.36</x:v>
      </x:c>
      <x:c r="I1025" s="11" t="n">
        <x:v>122885.47</x:v>
      </x:c>
    </x:row>
    <x:row r="1026">
      <x:c r="A1026" t="n">
        <x:v>2024</x:v>
      </x:c>
      <x:c r="B1026" t="str">
        <x:v>2024-02</x:v>
      </x:c>
      <x:c r="C1026" t="str">
        <x:v>Sports</x:v>
      </x:c>
      <x:c r="D1026" t="str">
        <x:v>Convenience</x:v>
      </x:c>
      <x:c r="E1026" t="str">
        <x:v>NSW</x:v>
      </x:c>
      <x:c r="F1026" s="11" t="n">
        <x:v>84281.64</x:v>
      </x:c>
      <x:c r="G1026" s="13" t="n">
        <x:v>17017</x:v>
      </x:c>
      <x:c r="H1026" s="11" t="n">
        <x:v>43388.21</x:v>
      </x:c>
      <x:c r="I1026" s="11" t="n">
        <x:v>79771.12</x:v>
      </x:c>
    </x:row>
    <x:row r="1027">
      <x:c r="A1027" t="n">
        <x:v>2024</x:v>
      </x:c>
      <x:c r="B1027" t="str">
        <x:v>2024-02</x:v>
      </x:c>
      <x:c r="C1027" t="str">
        <x:v>Sports</x:v>
      </x:c>
      <x:c r="D1027" t="str">
        <x:v>Convenience</x:v>
      </x:c>
      <x:c r="E1027" t="str">
        <x:v>QLD</x:v>
      </x:c>
      <x:c r="F1027" s="11" t="n">
        <x:v>80099.9</x:v>
      </x:c>
      <x:c r="G1027" s="13" t="n">
        <x:v>15534</x:v>
      </x:c>
      <x:c r="H1027" s="11" t="n">
        <x:v>42953.76</x:v>
      </x:c>
      <x:c r="I1027" s="11" t="n">
        <x:v>76702.2</x:v>
      </x:c>
    </x:row>
    <x:row r="1028">
      <x:c r="A1028" t="n">
        <x:v>2024</x:v>
      </x:c>
      <x:c r="B1028" t="str">
        <x:v>2024-02</x:v>
      </x:c>
      <x:c r="C1028" t="str">
        <x:v>Sports</x:v>
      </x:c>
      <x:c r="D1028" t="str">
        <x:v>Convenience</x:v>
      </x:c>
      <x:c r="E1028" t="str">
        <x:v>VIC</x:v>
      </x:c>
      <x:c r="F1028" s="11" t="n">
        <x:v>77142.26</x:v>
      </x:c>
      <x:c r="G1028" s="13" t="n">
        <x:v>15426</x:v>
      </x:c>
      <x:c r="H1028" s="11" t="n">
        <x:v>40444.04</x:v>
      </x:c>
      <x:c r="I1028" s="11" t="n">
        <x:v>74400.05</x:v>
      </x:c>
    </x:row>
    <x:row r="1029">
      <x:c r="A1029" t="n">
        <x:v>2024</x:v>
      </x:c>
      <x:c r="B1029" t="str">
        <x:v>2024-02</x:v>
      </x:c>
      <x:c r="C1029" t="str">
        <x:v>Sports</x:v>
      </x:c>
      <x:c r="D1029" t="str">
        <x:v>Grocery</x:v>
      </x:c>
      <x:c r="E1029" t="str">
        <x:v>NSW</x:v>
      </x:c>
      <x:c r="F1029" s="11" t="n">
        <x:v>205138.52</x:v>
      </x:c>
      <x:c r="G1029" s="13" t="n">
        <x:v>46337</x:v>
      </x:c>
      <x:c r="H1029" s="11" t="n">
        <x:v>92873.11</x:v>
      </x:c>
      <x:c r="I1029" s="11" t="n">
        <x:v>198024.55</x:v>
      </x:c>
    </x:row>
    <x:row r="1030">
      <x:c r="A1030" t="n">
        <x:v>2024</x:v>
      </x:c>
      <x:c r="B1030" t="str">
        <x:v>2024-02</x:v>
      </x:c>
      <x:c r="C1030" t="str">
        <x:v>Sports</x:v>
      </x:c>
      <x:c r="D1030" t="str">
        <x:v>Grocery</x:v>
      </x:c>
      <x:c r="E1030" t="str">
        <x:v>QLD</x:v>
      </x:c>
      <x:c r="F1030" s="11" t="n">
        <x:v>205624.97</x:v>
      </x:c>
      <x:c r="G1030" s="13" t="n">
        <x:v>48256</x:v>
      </x:c>
      <x:c r="H1030" s="11" t="n">
        <x:v>89637.73</x:v>
      </x:c>
      <x:c r="I1030" s="11" t="n">
        <x:v>190420.16999999998</x:v>
      </x:c>
    </x:row>
    <x:row r="1031">
      <x:c r="A1031" t="n">
        <x:v>2024</x:v>
      </x:c>
      <x:c r="B1031" t="str">
        <x:v>2024-02</x:v>
      </x:c>
      <x:c r="C1031" t="str">
        <x:v>Sports</x:v>
      </x:c>
      <x:c r="D1031" t="str">
        <x:v>Grocery</x:v>
      </x:c>
      <x:c r="E1031" t="str">
        <x:v>VIC</x:v>
      </x:c>
      <x:c r="F1031" s="11" t="n">
        <x:v>201851.41</x:v>
      </x:c>
      <x:c r="G1031" s="13" t="n">
        <x:v>46590</x:v>
      </x:c>
      <x:c r="H1031" s="11" t="n">
        <x:v>88627.14</x:v>
      </x:c>
      <x:c r="I1031" s="11" t="n">
        <x:v>184711.31</x:v>
      </x:c>
    </x:row>
    <x:row r="1032">
      <x:c r="A1032" t="n">
        <x:v>2024</x:v>
      </x:c>
      <x:c r="B1032" t="str">
        <x:v>2024-02</x:v>
      </x:c>
      <x:c r="C1032" t="str">
        <x:v>Sports</x:v>
      </x:c>
      <x:c r="D1032" t="str">
        <x:v>Hospitality</x:v>
      </x:c>
      <x:c r="E1032" t="str">
        <x:v>NSW</x:v>
      </x:c>
      <x:c r="F1032" s="11" t="n">
        <x:v>26610.01</x:v>
      </x:c>
      <x:c r="G1032" s="13" t="n">
        <x:v>6664</x:v>
      </x:c>
      <x:c r="H1032" s="11" t="n">
        <x:v>10399.95</x:v>
      </x:c>
      <x:c r="I1032" s="11" t="n">
        <x:v>24775.57</x:v>
      </x:c>
    </x:row>
    <x:row r="1033">
      <x:c r="A1033" t="n">
        <x:v>2024</x:v>
      </x:c>
      <x:c r="B1033" t="str">
        <x:v>2024-02</x:v>
      </x:c>
      <x:c r="C1033" t="str">
        <x:v>Sports</x:v>
      </x:c>
      <x:c r="D1033" t="str">
        <x:v>Hospitality</x:v>
      </x:c>
      <x:c r="E1033" t="str">
        <x:v>QLD</x:v>
      </x:c>
      <x:c r="F1033" s="11" t="n">
        <x:v>25887.71</x:v>
      </x:c>
      <x:c r="G1033" s="13" t="n">
        <x:v>6641</x:v>
      </x:c>
      <x:c r="H1033" s="11" t="n">
        <x:v>10055.57</x:v>
      </x:c>
      <x:c r="I1033" s="11" t="n">
        <x:v>23846.38</x:v>
      </x:c>
    </x:row>
    <x:row r="1034">
      <x:c r="A1034" t="n">
        <x:v>2024</x:v>
      </x:c>
      <x:c r="B1034" t="str">
        <x:v>2024-02</x:v>
      </x:c>
      <x:c r="C1034" t="str">
        <x:v>Sports</x:v>
      </x:c>
      <x:c r="D1034" t="str">
        <x:v>Hospitality</x:v>
      </x:c>
      <x:c r="E1034" t="str">
        <x:v>VIC</x:v>
      </x:c>
      <x:c r="F1034" s="11" t="n">
        <x:v>25097.66</x:v>
      </x:c>
      <x:c r="G1034" s="13" t="n">
        <x:v>6410</x:v>
      </x:c>
      <x:c r="H1034" s="11" t="n">
        <x:v>9614.43</x:v>
      </x:c>
      <x:c r="I1034" s="11" t="n">
        <x:v>23107.739999999998</x:v>
      </x:c>
    </x:row>
    <x:row r="1035">
      <x:c r="A1035" t="n">
        <x:v>2024</x:v>
      </x:c>
      <x:c r="B1035" t="str">
        <x:v>2024-02</x:v>
      </x:c>
      <x:c r="C1035" t="str">
        <x:v>Sports</x:v>
      </x:c>
      <x:c r="D1035" t="str">
        <x:v>Independent retail</x:v>
      </x:c>
      <x:c r="E1035" t="str">
        <x:v>NSW</x:v>
      </x:c>
      <x:c r="F1035" s="11" t="n">
        <x:v>68814.37</x:v>
      </x:c>
      <x:c r="G1035" s="13" t="n">
        <x:v>15704</x:v>
      </x:c>
      <x:c r="H1035" s="11" t="n">
        <x:v>31849.25</x:v>
      </x:c>
      <x:c r="I1035" s="11" t="n">
        <x:v>67302.72</x:v>
      </x:c>
    </x:row>
    <x:row r="1036">
      <x:c r="A1036" t="n">
        <x:v>2024</x:v>
      </x:c>
      <x:c r="B1036" t="str">
        <x:v>2024-02</x:v>
      </x:c>
      <x:c r="C1036" t="str">
        <x:v>Sports</x:v>
      </x:c>
      <x:c r="D1036" t="str">
        <x:v>Independent retail</x:v>
      </x:c>
      <x:c r="E1036" t="str">
        <x:v>QLD</x:v>
      </x:c>
      <x:c r="F1036" s="11" t="n">
        <x:v>66061.64</x:v>
      </x:c>
      <x:c r="G1036" s="13" t="n">
        <x:v>14063</x:v>
      </x:c>
      <x:c r="H1036" s="11" t="n">
        <x:v>32031.329999999998</x:v>
      </x:c>
      <x:c r="I1036" s="11" t="n">
        <x:v>64718.51</x:v>
      </x:c>
    </x:row>
    <x:row r="1037">
      <x:c r="A1037" t="n">
        <x:v>2024</x:v>
      </x:c>
      <x:c r="B1037" t="str">
        <x:v>2024-02</x:v>
      </x:c>
      <x:c r="C1037" t="str">
        <x:v>Sports</x:v>
      </x:c>
      <x:c r="D1037" t="str">
        <x:v>Independent retail</x:v>
      </x:c>
      <x:c r="E1037" t="str">
        <x:v>VIC</x:v>
      </x:c>
      <x:c r="F1037" s="11" t="n">
        <x:v>66597.58</x:v>
      </x:c>
      <x:c r="G1037" s="13" t="n">
        <x:v>14662</x:v>
      </x:c>
      <x:c r="H1037" s="11" t="n">
        <x:v>31732.08</x:v>
      </x:c>
      <x:c r="I1037" s="11" t="n">
        <x:v>62777.82</x:v>
      </x:c>
    </x:row>
    <x:row r="1038">
      <x:c r="A1038" t="n">
        <x:v>2024</x:v>
      </x:c>
      <x:c r="B1038" t="str">
        <x:v>2024-02</x:v>
      </x:c>
      <x:c r="C1038" t="str">
        <x:v>Sports</x:v>
      </x:c>
      <x:c r="D1038" t="str">
        <x:v>Petrol</x:v>
      </x:c>
      <x:c r="E1038" t="str">
        <x:v>NSW</x:v>
      </x:c>
      <x:c r="F1038" s="11" t="n">
        <x:v>75490.02</x:v>
      </x:c>
      <x:c r="G1038" s="13" t="n">
        <x:v>15003</x:v>
      </x:c>
      <x:c r="H1038" s="11" t="n">
        <x:v>39672.19</x:v>
      </x:c>
      <x:c r="I1038" s="11" t="n">
        <x:v>72988.33</x:v>
      </x:c>
    </x:row>
    <x:row r="1039">
      <x:c r="A1039" t="n">
        <x:v>2024</x:v>
      </x:c>
      <x:c r="B1039" t="str">
        <x:v>2024-02</x:v>
      </x:c>
      <x:c r="C1039" t="str">
        <x:v>Sports</x:v>
      </x:c>
      <x:c r="D1039" t="str">
        <x:v>Petrol</x:v>
      </x:c>
      <x:c r="E1039" t="str">
        <x:v>QLD</x:v>
      </x:c>
      <x:c r="F1039" s="11" t="n">
        <x:v>74011.87</x:v>
      </x:c>
      <x:c r="G1039" s="13" t="n">
        <x:v>14872</x:v>
      </x:c>
      <x:c r="H1039" s="11" t="n">
        <x:v>37861.75</x:v>
      </x:c>
      <x:c r="I1039" s="11" t="n">
        <x:v>70180.3</x:v>
      </x:c>
    </x:row>
    <x:row r="1040">
      <x:c r="A1040" t="n">
        <x:v>2024</x:v>
      </x:c>
      <x:c r="B1040" t="str">
        <x:v>2024-02</x:v>
      </x:c>
      <x:c r="C1040" t="str">
        <x:v>Sports</x:v>
      </x:c>
      <x:c r="D1040" t="str">
        <x:v>Petrol</x:v>
      </x:c>
      <x:c r="E1040" t="str">
        <x:v>VIC</x:v>
      </x:c>
      <x:c r="F1040" s="11" t="n">
        <x:v>69783.26</x:v>
      </x:c>
      <x:c r="G1040" s="13" t="n">
        <x:v>13696</x:v>
      </x:c>
      <x:c r="H1040" s="11" t="n">
        <x:v>36497.5</x:v>
      </x:c>
      <x:c r="I1040" s="11" t="n">
        <x:v>68084.29000000001</x:v>
      </x:c>
    </x:row>
    <x:row r="1041">
      <x:c r="A1041" t="n">
        <x:v>2024</x:v>
      </x:c>
      <x:c r="B1041" t="str">
        <x:v>2024-02</x:v>
      </x:c>
      <x:c r="C1041" t="str">
        <x:v>Water</x:v>
      </x:c>
      <x:c r="D1041" t="str">
        <x:v>Convenience</x:v>
      </x:c>
      <x:c r="E1041" t="str">
        <x:v>NSW</x:v>
      </x:c>
      <x:c r="F1041" s="11" t="n">
        <x:v>93325.43</x:v>
      </x:c>
      <x:c r="G1041" s="13" t="n">
        <x:v>28252</x:v>
      </x:c>
      <x:c r="H1041" s="11" t="n">
        <x:v>46265</x:v>
      </x:c>
      <x:c r="I1041" s="11" t="n">
        <x:v>95064.04</x:v>
      </x:c>
    </x:row>
    <x:row r="1042">
      <x:c r="A1042" t="n">
        <x:v>2024</x:v>
      </x:c>
      <x:c r="B1042" t="str">
        <x:v>2024-02</x:v>
      </x:c>
      <x:c r="C1042" t="str">
        <x:v>Water</x:v>
      </x:c>
      <x:c r="D1042" t="str">
        <x:v>Convenience</x:v>
      </x:c>
      <x:c r="E1042" t="str">
        <x:v>QLD</x:v>
      </x:c>
      <x:c r="F1042" s="11" t="n">
        <x:v>90951.69</x:v>
      </x:c>
      <x:c r="G1042" s="13" t="n">
        <x:v>28766</x:v>
      </x:c>
      <x:c r="H1042" s="11" t="n">
        <x:v>43219.63</x:v>
      </x:c>
      <x:c r="I1042" s="11" t="n">
        <x:v>91398.71</x:v>
      </x:c>
    </x:row>
    <x:row r="1043">
      <x:c r="A1043" t="n">
        <x:v>2024</x:v>
      </x:c>
      <x:c r="B1043" t="str">
        <x:v>2024-02</x:v>
      </x:c>
      <x:c r="C1043" t="str">
        <x:v>Water</x:v>
      </x:c>
      <x:c r="D1043" t="str">
        <x:v>Convenience</x:v>
      </x:c>
      <x:c r="E1043" t="str">
        <x:v>VIC</x:v>
      </x:c>
      <x:c r="F1043" s="11" t="n">
        <x:v>88969.14</x:v>
      </x:c>
      <x:c r="G1043" s="13" t="n">
        <x:v>27504</x:v>
      </x:c>
      <x:c r="H1043" s="11" t="n">
        <x:v>43193.13</x:v>
      </x:c>
      <x:c r="I1043" s="11" t="n">
        <x:v>88665.84999999999</x:v>
      </x:c>
    </x:row>
    <x:row r="1044">
      <x:c r="A1044" t="n">
        <x:v>2024</x:v>
      </x:c>
      <x:c r="B1044" t="str">
        <x:v>2024-02</x:v>
      </x:c>
      <x:c r="C1044" t="str">
        <x:v>Water</x:v>
      </x:c>
      <x:c r="D1044" t="str">
        <x:v>Grocery</x:v>
      </x:c>
      <x:c r="E1044" t="str">
        <x:v>NSW</x:v>
      </x:c>
      <x:c r="F1044" s="11" t="n">
        <x:v>228332.27</x:v>
      </x:c>
      <x:c r="G1044" s="13" t="n">
        <x:v>83810</x:v>
      </x:c>
      <x:c r="H1044" s="11" t="n">
        <x:v>90587.67</x:v>
      </x:c>
      <x:c r="I1044" s="11" t="n">
        <x:v>236951.63</x:v>
      </x:c>
    </x:row>
    <x:row r="1045">
      <x:c r="A1045" t="n">
        <x:v>2024</x:v>
      </x:c>
      <x:c r="B1045" t="str">
        <x:v>2024-02</x:v>
      </x:c>
      <x:c r="C1045" t="str">
        <x:v>Water</x:v>
      </x:c>
      <x:c r="D1045" t="str">
        <x:v>Grocery</x:v>
      </x:c>
      <x:c r="E1045" t="str">
        <x:v>QLD</x:v>
      </x:c>
      <x:c r="F1045" s="11" t="n">
        <x:v>221852.05</x:v>
      </x:c>
      <x:c r="G1045" s="13" t="n">
        <x:v>79329</x:v>
      </x:c>
      <x:c r="H1045" s="11" t="n">
        <x:v>92295.87</x:v>
      </x:c>
      <x:c r="I1045" s="11" t="n">
        <x:v>227836.26</x:v>
      </x:c>
    </x:row>
    <x:row r="1046">
      <x:c r="A1046" t="n">
        <x:v>2024</x:v>
      </x:c>
      <x:c r="B1046" t="str">
        <x:v>2024-02</x:v>
      </x:c>
      <x:c r="C1046" t="str">
        <x:v>Water</x:v>
      </x:c>
      <x:c r="D1046" t="str">
        <x:v>Grocery</x:v>
      </x:c>
      <x:c r="E1046" t="str">
        <x:v>VIC</x:v>
      </x:c>
      <x:c r="F1046" s="11" t="n">
        <x:v>219949.21</x:v>
      </x:c>
      <x:c r="G1046" s="13" t="n">
        <x:v>77661</x:v>
      </x:c>
      <x:c r="H1046" s="11" t="n">
        <x:v>90241.06</x:v>
      </x:c>
      <x:c r="I1046" s="11" t="n">
        <x:v>221004.28</x:v>
      </x:c>
    </x:row>
    <x:row r="1047">
      <x:c r="A1047" t="n">
        <x:v>2024</x:v>
      </x:c>
      <x:c r="B1047" t="str">
        <x:v>2024-02</x:v>
      </x:c>
      <x:c r="C1047" t="str">
        <x:v>Water</x:v>
      </x:c>
      <x:c r="D1047" t="str">
        <x:v>Hospitality</x:v>
      </x:c>
      <x:c r="E1047" t="str">
        <x:v>NSW</x:v>
      </x:c>
      <x:c r="F1047" s="11" t="n">
        <x:v>29776.39</x:v>
      </x:c>
      <x:c r="G1047" s="13" t="n">
        <x:v>11577</x:v>
      </x:c>
      <x:c r="H1047" s="11" t="n">
        <x:v>10690.95</x:v>
      </x:c>
      <x:c r="I1047" s="11" t="n">
        <x:v>29657.530000000002</x:v>
      </x:c>
    </x:row>
    <x:row r="1048">
      <x:c r="A1048" t="n">
        <x:v>2024</x:v>
      </x:c>
      <x:c r="B1048" t="str">
        <x:v>2024-02</x:v>
      </x:c>
      <x:c r="C1048" t="str">
        <x:v>Water</x:v>
      </x:c>
      <x:c r="D1048" t="str">
        <x:v>Hospitality</x:v>
      </x:c>
      <x:c r="E1048" t="str">
        <x:v>QLD</x:v>
      </x:c>
      <x:c r="F1048" s="11" t="n">
        <x:v>29012.5</x:v>
      </x:c>
      <x:c r="G1048" s="13" t="n">
        <x:v>11037</x:v>
      </x:c>
      <x:c r="H1048" s="11" t="n">
        <x:v>10583.41</x:v>
      </x:c>
      <x:c r="I1048" s="11" t="n">
        <x:v>28504.42</x:v>
      </x:c>
    </x:row>
    <x:row r="1049">
      <x:c r="A1049" t="n">
        <x:v>2024</x:v>
      </x:c>
      <x:c r="B1049" t="str">
        <x:v>2024-02</x:v>
      </x:c>
      <x:c r="C1049" t="str">
        <x:v>Water</x:v>
      </x:c>
      <x:c r="D1049" t="str">
        <x:v>Hospitality</x:v>
      </x:c>
      <x:c r="E1049" t="str">
        <x:v>VIC</x:v>
      </x:c>
      <x:c r="F1049" s="11" t="n">
        <x:v>27832.81</x:v>
      </x:c>
      <x:c r="G1049" s="13" t="n">
        <x:v>10609</x:v>
      </x:c>
      <x:c r="H1049" s="11" t="n">
        <x:v>10226.56</x:v>
      </x:c>
      <x:c r="I1049" s="11" t="n">
        <x:v>27663.4</x:v>
      </x:c>
    </x:row>
    <x:row r="1050">
      <x:c r="A1050" t="n">
        <x:v>2024</x:v>
      </x:c>
      <x:c r="B1050" t="str">
        <x:v>2024-02</x:v>
      </x:c>
      <x:c r="C1050" t="str">
        <x:v>Water</x:v>
      </x:c>
      <x:c r="D1050" t="str">
        <x:v>Independent retail</x:v>
      </x:c>
      <x:c r="E1050" t="str">
        <x:v>NSW</x:v>
      </x:c>
      <x:c r="F1050" s="11" t="n">
        <x:v>79793.7</x:v>
      </x:c>
      <x:c r="G1050" s="13" t="n">
        <x:v>27680</x:v>
      </x:c>
      <x:c r="H1050" s="11" t="n">
        <x:v>33484.97</x:v>
      </x:c>
      <x:c r="I1050" s="11" t="n">
        <x:v>80651.86</x:v>
      </x:c>
    </x:row>
    <x:row r="1051">
      <x:c r="A1051" t="n">
        <x:v>2024</x:v>
      </x:c>
      <x:c r="B1051" t="str">
        <x:v>2024-02</x:v>
      </x:c>
      <x:c r="C1051" t="str">
        <x:v>Water</x:v>
      </x:c>
      <x:c r="D1051" t="str">
        <x:v>Independent retail</x:v>
      </x:c>
      <x:c r="E1051" t="str">
        <x:v>QLD</x:v>
      </x:c>
      <x:c r="F1051" s="11" t="n">
        <x:v>77657.46</x:v>
      </x:c>
      <x:c r="G1051" s="13" t="n">
        <x:v>27987</x:v>
      </x:c>
      <x:c r="H1051" s="11" t="n">
        <x:v>31300.72</x:v>
      </x:c>
      <x:c r="I1051" s="11" t="n">
        <x:v>77544.89</x:v>
      </x:c>
    </x:row>
    <x:row r="1052">
      <x:c r="A1052" t="n">
        <x:v>2024</x:v>
      </x:c>
      <x:c r="B1052" t="str">
        <x:v>2024-02</x:v>
      </x:c>
      <x:c r="C1052" t="str">
        <x:v>Water</x:v>
      </x:c>
      <x:c r="D1052" t="str">
        <x:v>Independent retail</x:v>
      </x:c>
      <x:c r="E1052" t="str">
        <x:v>VIC</x:v>
      </x:c>
      <x:c r="F1052" s="11" t="n">
        <x:v>74826.01</x:v>
      </x:c>
      <x:c r="G1052" s="13" t="n">
        <x:v>26484</x:v>
      </x:c>
      <x:c r="H1052" s="11" t="n">
        <x:v>30710.07</x:v>
      </x:c>
      <x:c r="I1052" s="11" t="n">
        <x:v>75225.87</x:v>
      </x:c>
    </x:row>
    <x:row r="1053">
      <x:c r="A1053" t="n">
        <x:v>2024</x:v>
      </x:c>
      <x:c r="B1053" t="str">
        <x:v>2024-02</x:v>
      </x:c>
      <x:c r="C1053" t="str">
        <x:v>Water</x:v>
      </x:c>
      <x:c r="D1053" t="str">
        <x:v>Petrol</x:v>
      </x:c>
      <x:c r="E1053" t="str">
        <x:v>NSW</x:v>
      </x:c>
      <x:c r="F1053" s="11" t="n">
        <x:v>87589.12</x:v>
      </x:c>
      <x:c r="G1053" s="13" t="n">
        <x:v>29262</x:v>
      </x:c>
      <x:c r="H1053" s="11" t="n">
        <x:v>39436.12</x:v>
      </x:c>
      <x:c r="I1053" s="11" t="n">
        <x:v>86750.53</x:v>
      </x:c>
    </x:row>
    <x:row r="1054">
      <x:c r="A1054" t="n">
        <x:v>2024</x:v>
      </x:c>
      <x:c r="B1054" t="str">
        <x:v>2024-02</x:v>
      </x:c>
      <x:c r="C1054" t="str">
        <x:v>Water</x:v>
      </x:c>
      <x:c r="D1054" t="str">
        <x:v>Petrol</x:v>
      </x:c>
      <x:c r="E1054" t="str">
        <x:v>QLD</x:v>
      </x:c>
      <x:c r="F1054" s="11" t="n">
        <x:v>81584.3</x:v>
      </x:c>
      <x:c r="G1054" s="13" t="n">
        <x:v>26808</x:v>
      </x:c>
      <x:c r="H1054" s="11" t="n">
        <x:v>37677.6</x:v>
      </x:c>
      <x:c r="I1054" s="11" t="n">
        <x:v>83407.67</x:v>
      </x:c>
    </x:row>
    <x:row r="1055">
      <x:c r="A1055" t="n">
        <x:v>2024</x:v>
      </x:c>
      <x:c r="B1055" t="str">
        <x:v>2024-02</x:v>
      </x:c>
      <x:c r="C1055" t="str">
        <x:v>Water</x:v>
      </x:c>
      <x:c r="D1055" t="str">
        <x:v>Petrol</x:v>
      </x:c>
      <x:c r="E1055" t="str">
        <x:v>VIC</x:v>
      </x:c>
      <x:c r="F1055" s="11" t="n">
        <x:v>83300.48</x:v>
      </x:c>
      <x:c r="G1055" s="13" t="n">
        <x:v>27470</x:v>
      </x:c>
      <x:c r="H1055" s="11" t="n">
        <x:v>37694.2</x:v>
      </x:c>
      <x:c r="I1055" s="11" t="n">
        <x:v>80913.66</x:v>
      </x:c>
    </x:row>
    <x:row r="1056">
      <x:c r="A1056" t="n">
        <x:v>2024</x:v>
      </x:c>
      <x:c r="B1056" t="str">
        <x:v>2024-03</x:v>
      </x:c>
      <x:c r="C1056" t="str">
        <x:v>Coffee</x:v>
      </x:c>
      <x:c r="D1056" t="str">
        <x:v>Convenience</x:v>
      </x:c>
      <x:c r="E1056" t="str">
        <x:v>NSW</x:v>
      </x:c>
      <x:c r="F1056" s="11" t="n">
        <x:v>24472.96</x:v>
      </x:c>
      <x:c r="G1056" s="13" t="n">
        <x:v>4821</x:v>
      </x:c>
      <x:c r="H1056" s="11" t="n">
        <x:v>9874.63</x:v>
      </x:c>
      <x:c r="I1056" s="11" t="n">
        <x:v>32911.87</x:v>
      </x:c>
    </x:row>
    <x:row r="1057">
      <x:c r="A1057" t="n">
        <x:v>2024</x:v>
      </x:c>
      <x:c r="B1057" t="str">
        <x:v>2024-03</x:v>
      </x:c>
      <x:c r="C1057" t="str">
        <x:v>Coffee</x:v>
      </x:c>
      <x:c r="D1057" t="str">
        <x:v>Convenience</x:v>
      </x:c>
      <x:c r="E1057" t="str">
        <x:v>QLD</x:v>
      </x:c>
      <x:c r="F1057" s="11" t="n">
        <x:v>23839.03</x:v>
      </x:c>
      <x:c r="G1057" s="13" t="n">
        <x:v>4546</x:v>
      </x:c>
      <x:c r="H1057" s="11" t="n">
        <x:v>10324.14</x:v>
      </x:c>
      <x:c r="I1057" s="11" t="n">
        <x:v>31656.96</x:v>
      </x:c>
    </x:row>
    <x:row r="1058">
      <x:c r="A1058" t="n">
        <x:v>2024</x:v>
      </x:c>
      <x:c r="B1058" t="str">
        <x:v>2024-03</x:v>
      </x:c>
      <x:c r="C1058" t="str">
        <x:v>Coffee</x:v>
      </x:c>
      <x:c r="D1058" t="str">
        <x:v>Convenience</x:v>
      </x:c>
      <x:c r="E1058" t="str">
        <x:v>VIC</x:v>
      </x:c>
      <x:c r="F1058" s="11" t="n">
        <x:v>22629.9</x:v>
      </x:c>
      <x:c r="G1058" s="13" t="n">
        <x:v>4391</x:v>
      </x:c>
      <x:c r="H1058" s="11" t="n">
        <x:v>9477.86</x:v>
      </x:c>
      <x:c r="I1058" s="11" t="n">
        <x:v>30696.2</x:v>
      </x:c>
    </x:row>
    <x:row r="1059">
      <x:c r="A1059" t="n">
        <x:v>2024</x:v>
      </x:c>
      <x:c r="B1059" t="str">
        <x:v>2024-03</x:v>
      </x:c>
      <x:c r="C1059" t="str">
        <x:v>Coffee</x:v>
      </x:c>
      <x:c r="D1059" t="str">
        <x:v>Grocery</x:v>
      </x:c>
      <x:c r="E1059" t="str">
        <x:v>NSW</x:v>
      </x:c>
      <x:c r="F1059" s="11" t="n">
        <x:v>59753.78</x:v>
      </x:c>
      <x:c r="G1059" s="13" t="n">
        <x:v>13186</x:v>
      </x:c>
      <x:c r="H1059" s="11" t="n">
        <x:v>19972.21</x:v>
      </x:c>
      <x:c r="I1059" s="11" t="n">
        <x:v>81729.83</x:v>
      </x:c>
    </x:row>
    <x:row r="1060">
      <x:c r="A1060" t="n">
        <x:v>2024</x:v>
      </x:c>
      <x:c r="B1060" t="str">
        <x:v>2024-03</x:v>
      </x:c>
      <x:c r="C1060" t="str">
        <x:v>Coffee</x:v>
      </x:c>
      <x:c r="D1060" t="str">
        <x:v>Grocery</x:v>
      </x:c>
      <x:c r="E1060" t="str">
        <x:v>QLD</x:v>
      </x:c>
      <x:c r="F1060" s="11" t="n">
        <x:v>59466.89</x:v>
      </x:c>
      <x:c r="G1060" s="13" t="n">
        <x:v>13691</x:v>
      </x:c>
      <x:c r="H1060" s="11" t="n">
        <x:v>18511.15</x:v>
      </x:c>
      <x:c r="I1060" s="11" t="n">
        <x:v>78578.29</x:v>
      </x:c>
    </x:row>
    <x:row r="1061">
      <x:c r="A1061" t="n">
        <x:v>2024</x:v>
      </x:c>
      <x:c r="B1061" t="str">
        <x:v>2024-03</x:v>
      </x:c>
      <x:c r="C1061" t="str">
        <x:v>Coffee</x:v>
      </x:c>
      <x:c r="D1061" t="str">
        <x:v>Grocery</x:v>
      </x:c>
      <x:c r="E1061" t="str">
        <x:v>VIC</x:v>
      </x:c>
      <x:c r="F1061" s="11" t="n">
        <x:v>55027.73</x:v>
      </x:c>
      <x:c r="G1061" s="13" t="n">
        <x:v>12361</x:v>
      </x:c>
      <x:c r="H1061" s="11" t="n">
        <x:v>17753</x:v>
      </x:c>
      <x:c r="I1061" s="11" t="n">
        <x:v>76221.3</x:v>
      </x:c>
    </x:row>
    <x:row r="1062">
      <x:c r="A1062" t="n">
        <x:v>2024</x:v>
      </x:c>
      <x:c r="B1062" t="str">
        <x:v>2024-03</x:v>
      </x:c>
      <x:c r="C1062" t="str">
        <x:v>Coffee</x:v>
      </x:c>
      <x:c r="D1062" t="str">
        <x:v>Hospitality</x:v>
      </x:c>
      <x:c r="E1062" t="str">
        <x:v>NSW</x:v>
      </x:c>
      <x:c r="F1062" s="11" t="n">
        <x:v>7438.47</x:v>
      </x:c>
      <x:c r="G1062" s="13" t="n">
        <x:v>1832</x:v>
      </x:c>
      <x:c r="H1062" s="11" t="n">
        <x:v>1936.57</x:v>
      </x:c>
      <x:c r="I1062" s="11" t="n">
        <x:v>10246.15</x:v>
      </x:c>
    </x:row>
    <x:row r="1063">
      <x:c r="A1063" t="n">
        <x:v>2024</x:v>
      </x:c>
      <x:c r="B1063" t="str">
        <x:v>2024-03</x:v>
      </x:c>
      <x:c r="C1063" t="str">
        <x:v>Coffee</x:v>
      </x:c>
      <x:c r="D1063" t="str">
        <x:v>Hospitality</x:v>
      </x:c>
      <x:c r="E1063" t="str">
        <x:v>QLD</x:v>
      </x:c>
      <x:c r="F1063" s="11" t="n">
        <x:v>7336.85</x:v>
      </x:c>
      <x:c r="G1063" s="13" t="n">
        <x:v>1839</x:v>
      </x:c>
      <x:c r="H1063" s="11" t="n">
        <x:v>1824.27</x:v>
      </x:c>
      <x:c r="I1063" s="11" t="n">
        <x:v>9844.01</x:v>
      </x:c>
    </x:row>
    <x:row r="1064">
      <x:c r="A1064" t="n">
        <x:v>2024</x:v>
      </x:c>
      <x:c r="B1064" t="str">
        <x:v>2024-03</x:v>
      </x:c>
      <x:c r="C1064" t="str">
        <x:v>Coffee</x:v>
      </x:c>
      <x:c r="D1064" t="str">
        <x:v>Hospitality</x:v>
      </x:c>
      <x:c r="E1064" t="str">
        <x:v>VIC</x:v>
      </x:c>
      <x:c r="F1064" s="11" t="n">
        <x:v>6853.93</x:v>
      </x:c>
      <x:c r="G1064" s="13" t="n">
        <x:v>1718</x:v>
      </x:c>
      <x:c r="H1064" s="11" t="n">
        <x:v>1709.82</x:v>
      </x:c>
      <x:c r="I1064" s="11" t="n">
        <x:v>9571.73</x:v>
      </x:c>
    </x:row>
    <x:row r="1065">
      <x:c r="A1065" t="n">
        <x:v>2024</x:v>
      </x:c>
      <x:c r="B1065" t="str">
        <x:v>2024-03</x:v>
      </x:c>
      <x:c r="C1065" t="str">
        <x:v>Coffee</x:v>
      </x:c>
      <x:c r="D1065" t="str">
        <x:v>Independent retail</x:v>
      </x:c>
      <x:c r="E1065" t="str">
        <x:v>NSW</x:v>
      </x:c>
      <x:c r="F1065" s="11" t="n">
        <x:v>19870.21</x:v>
      </x:c>
      <x:c r="G1065" s="13" t="n">
        <x:v>4350</x:v>
      </x:c>
      <x:c r="H1065" s="11" t="n">
        <x:v>6837.06</x:v>
      </x:c>
      <x:c r="I1065" s="11" t="n">
        <x:v>27754.08</x:v>
      </x:c>
    </x:row>
    <x:row r="1066">
      <x:c r="A1066" t="n">
        <x:v>2024</x:v>
      </x:c>
      <x:c r="B1066" t="str">
        <x:v>2024-03</x:v>
      </x:c>
      <x:c r="C1066" t="str">
        <x:v>Coffee</x:v>
      </x:c>
      <x:c r="D1066" t="str">
        <x:v>Independent retail</x:v>
      </x:c>
      <x:c r="E1066" t="str">
        <x:v>QLD</x:v>
      </x:c>
      <x:c r="F1066" s="11" t="n">
        <x:v>19682.18</x:v>
      </x:c>
      <x:c r="G1066" s="13" t="n">
        <x:v>4117</x:v>
      </x:c>
      <x:c r="H1066" s="11" t="n">
        <x:v>7290.79</x:v>
      </x:c>
      <x:c r="I1066" s="11" t="n">
        <x:v>26682.6</x:v>
      </x:c>
    </x:row>
    <x:row r="1067">
      <x:c r="A1067" t="n">
        <x:v>2024</x:v>
      </x:c>
      <x:c r="B1067" t="str">
        <x:v>2024-03</x:v>
      </x:c>
      <x:c r="C1067" t="str">
        <x:v>Coffee</x:v>
      </x:c>
      <x:c r="D1067" t="str">
        <x:v>Independent retail</x:v>
      </x:c>
      <x:c r="E1067" t="str">
        <x:v>VIC</x:v>
      </x:c>
      <x:c r="F1067" s="11" t="n">
        <x:v>18932.22</x:v>
      </x:c>
      <x:c r="G1067" s="13" t="n">
        <x:v>4026</x:v>
      </x:c>
      <x:c r="H1067" s="11" t="n">
        <x:v>6821.9800000000005</x:v>
      </x:c>
      <x:c r="I1067" s="11" t="n">
        <x:v>25891.85</x:v>
      </x:c>
    </x:row>
    <x:row r="1068">
      <x:c r="A1068" t="n">
        <x:v>2024</x:v>
      </x:c>
      <x:c r="B1068" t="str">
        <x:v>2024-03</x:v>
      </x:c>
      <x:c r="C1068" t="str">
        <x:v>Coffee</x:v>
      </x:c>
      <x:c r="D1068" t="str">
        <x:v>Petrol</x:v>
      </x:c>
      <x:c r="E1068" t="str">
        <x:v>NSW</x:v>
      </x:c>
      <x:c r="F1068" s="11" t="n">
        <x:v>23014.28</x:v>
      </x:c>
      <x:c r="G1068" s="13" t="n">
        <x:v>4431</x:v>
      </x:c>
      <x:c r="H1068" s="11" t="n">
        <x:v>9712.14</x:v>
      </x:c>
      <x:c r="I1068" s="11" t="n">
        <x:v>29927.93</x:v>
      </x:c>
    </x:row>
    <x:row r="1069">
      <x:c r="A1069" t="n">
        <x:v>2024</x:v>
      </x:c>
      <x:c r="B1069" t="str">
        <x:v>2024-03</x:v>
      </x:c>
      <x:c r="C1069" t="str">
        <x:v>Coffee</x:v>
      </x:c>
      <x:c r="D1069" t="str">
        <x:v>Petrol</x:v>
      </x:c>
      <x:c r="E1069" t="str">
        <x:v>QLD</x:v>
      </x:c>
      <x:c r="F1069" s="11" t="n">
        <x:v>21318.78</x:v>
      </x:c>
      <x:c r="G1069" s="13" t="n">
        <x:v>4198</x:v>
      </x:c>
      <x:c r="H1069" s="11" t="n">
        <x:v>8639.49</x:v>
      </x:c>
      <x:c r="I1069" s="11" t="n">
        <x:v>28778.079999999998</x:v>
      </x:c>
    </x:row>
    <x:row r="1070">
      <x:c r="A1070" t="n">
        <x:v>2024</x:v>
      </x:c>
      <x:c r="B1070" t="str">
        <x:v>2024-03</x:v>
      </x:c>
      <x:c r="C1070" t="str">
        <x:v>Coffee</x:v>
      </x:c>
      <x:c r="D1070" t="str">
        <x:v>Petrol</x:v>
      </x:c>
      <x:c r="E1070" t="str">
        <x:v>VIC</x:v>
      </x:c>
      <x:c r="F1070" s="11" t="n">
        <x:v>20812.13</x:v>
      </x:c>
      <x:c r="G1070" s="13" t="n">
        <x:v>4014</x:v>
      </x:c>
      <x:c r="H1070" s="11" t="n">
        <x:v>8771.24</x:v>
      </x:c>
      <x:c r="I1070" s="11" t="n">
        <x:v>27907.34</x:v>
      </x:c>
    </x:row>
    <x:row r="1071">
      <x:c r="A1071" t="n">
        <x:v>2024</x:v>
      </x:c>
      <x:c r="B1071" t="str">
        <x:v>2024-03</x:v>
      </x:c>
      <x:c r="C1071" t="str">
        <x:v>Energy</x:v>
      </x:c>
      <x:c r="D1071" t="str">
        <x:v>Convenience</x:v>
      </x:c>
      <x:c r="E1071" t="str">
        <x:v>NSW</x:v>
      </x:c>
      <x:c r="F1071" s="11" t="n">
        <x:v>92093.99</x:v>
      </x:c>
      <x:c r="G1071" s="13" t="n">
        <x:v>16570</x:v>
      </x:c>
      <x:c r="H1071" s="11" t="n">
        <x:v>55569.58</x:v>
      </x:c>
      <x:c r="I1071" s="11" t="n">
        <x:v>127666.96</x:v>
      </x:c>
    </x:row>
    <x:row r="1072">
      <x:c r="A1072" t="n">
        <x:v>2024</x:v>
      </x:c>
      <x:c r="B1072" t="str">
        <x:v>2024-03</x:v>
      </x:c>
      <x:c r="C1072" t="str">
        <x:v>Energy</x:v>
      </x:c>
      <x:c r="D1072" t="str">
        <x:v>Convenience</x:v>
      </x:c>
      <x:c r="E1072" t="str">
        <x:v>QLD</x:v>
      </x:c>
      <x:c r="F1072" s="11" t="n">
        <x:v>90187.29</x:v>
      </x:c>
      <x:c r="G1072" s="13" t="n">
        <x:v>16177</x:v>
      </x:c>
      <x:c r="H1072" s="11" t="n">
        <x:v>54044.08</x:v>
      </x:c>
      <x:c r="I1072" s="11" t="n">
        <x:v>122792.42</x:v>
      </x:c>
    </x:row>
    <x:row r="1073">
      <x:c r="A1073" t="n">
        <x:v>2024</x:v>
      </x:c>
      <x:c r="B1073" t="str">
        <x:v>2024-03</x:v>
      </x:c>
      <x:c r="C1073" t="str">
        <x:v>Energy</x:v>
      </x:c>
      <x:c r="D1073" t="str">
        <x:v>Convenience</x:v>
      </x:c>
      <x:c r="E1073" t="str">
        <x:v>VIC</x:v>
      </x:c>
      <x:c r="F1073" s="11" t="n">
        <x:v>84421.98</x:v>
      </x:c>
      <x:c r="G1073" s="13" t="n">
        <x:v>15224</x:v>
      </x:c>
      <x:c r="H1073" s="11" t="n">
        <x:v>51101.75</x:v>
      </x:c>
      <x:c r="I1073" s="11" t="n">
        <x:v>119123.09</x:v>
      </x:c>
    </x:row>
    <x:row r="1074">
      <x:c r="A1074" t="n">
        <x:v>2024</x:v>
      </x:c>
      <x:c r="B1074" t="str">
        <x:v>2024-03</x:v>
      </x:c>
      <x:c r="C1074" t="str">
        <x:v>Energy</x:v>
      </x:c>
      <x:c r="D1074" t="str">
        <x:v>Grocery</x:v>
      </x:c>
      <x:c r="E1074" t="str">
        <x:v>NSW</x:v>
      </x:c>
      <x:c r="F1074" s="11" t="n">
        <x:v>367644.18</x:v>
      </x:c>
      <x:c r="G1074" s="13" t="n">
        <x:v>78546</x:v>
      </x:c>
      <x:c r="H1074" s="11" t="n">
        <x:v>192221.24</x:v>
      </x:c>
      <x:c r="I1074" s="11" t="n">
        <x:v>317997.99</x:v>
      </x:c>
    </x:row>
    <x:row r="1075">
      <x:c r="A1075" t="n">
        <x:v>2024</x:v>
      </x:c>
      <x:c r="B1075" t="str">
        <x:v>2024-03</x:v>
      </x:c>
      <x:c r="C1075" t="str">
        <x:v>Energy</x:v>
      </x:c>
      <x:c r="D1075" t="str">
        <x:v>Grocery</x:v>
      </x:c>
      <x:c r="E1075" t="str">
        <x:v>QLD</x:v>
      </x:c>
      <x:c r="F1075" s="11" t="n">
        <x:v>341871.02</x:v>
      </x:c>
      <x:c r="G1075" s="13" t="n">
        <x:v>71460</x:v>
      </x:c>
      <x:c r="H1075" s="11" t="n">
        <x:v>183916.73</x:v>
      </x:c>
      <x:c r="I1075" s="11" t="n">
        <x:v>305800.94</x:v>
      </x:c>
    </x:row>
    <x:row r="1076">
      <x:c r="A1076" t="n">
        <x:v>2024</x:v>
      </x:c>
      <x:c r="B1076" t="str">
        <x:v>2024-03</x:v>
      </x:c>
      <x:c r="C1076" t="str">
        <x:v>Energy</x:v>
      </x:c>
      <x:c r="D1076" t="str">
        <x:v>Grocery</x:v>
      </x:c>
      <x:c r="E1076" t="str">
        <x:v>VIC</x:v>
      </x:c>
      <x:c r="F1076" s="11" t="n">
        <x:v>327187.23</x:v>
      </x:c>
      <x:c r="G1076" s="13" t="n">
        <x:v>69401</x:v>
      </x:c>
      <x:c r="H1076" s="11" t="n">
        <x:v>173669.37</x:v>
      </x:c>
      <x:c r="I1076" s="11" t="n">
        <x:v>296622.59</x:v>
      </x:c>
    </x:row>
    <x:row r="1077">
      <x:c r="A1077" t="n">
        <x:v>2024</x:v>
      </x:c>
      <x:c r="B1077" t="str">
        <x:v>2024-03</x:v>
      </x:c>
      <x:c r="C1077" t="str">
        <x:v>Energy</x:v>
      </x:c>
      <x:c r="D1077" t="str">
        <x:v>Hospitality</x:v>
      </x:c>
      <x:c r="E1077" t="str">
        <x:v>NSW</x:v>
      </x:c>
      <x:c r="F1077" s="11" t="n">
        <x:v>44895.75</x:v>
      </x:c>
      <x:c r="G1077" s="13" t="n">
        <x:v>10312</x:v>
      </x:c>
      <x:c r="H1077" s="11" t="n">
        <x:v>22082.64</x:v>
      </x:c>
      <x:c r="I1077" s="11" t="n">
        <x:v>39812.21</x:v>
      </x:c>
    </x:row>
    <x:row r="1078">
      <x:c r="A1078" t="n">
        <x:v>2024</x:v>
      </x:c>
      <x:c r="B1078" t="str">
        <x:v>2024-03</x:v>
      </x:c>
      <x:c r="C1078" t="str">
        <x:v>Energy</x:v>
      </x:c>
      <x:c r="D1078" t="str">
        <x:v>Hospitality</x:v>
      </x:c>
      <x:c r="E1078" t="str">
        <x:v>QLD</x:v>
      </x:c>
      <x:c r="F1078" s="11" t="n">
        <x:v>43749.75</x:v>
      </x:c>
      <x:c r="G1078" s="13" t="n">
        <x:v>9890</x:v>
      </x:c>
      <x:c r="H1078" s="11" t="n">
        <x:v>21893</x:v>
      </x:c>
      <x:c r="I1078" s="11" t="n">
        <x:v>38288.11</x:v>
      </x:c>
    </x:row>
    <x:row r="1079">
      <x:c r="A1079" t="n">
        <x:v>2024</x:v>
      </x:c>
      <x:c r="B1079" t="str">
        <x:v>2024-03</x:v>
      </x:c>
      <x:c r="C1079" t="str">
        <x:v>Energy</x:v>
      </x:c>
      <x:c r="D1079" t="str">
        <x:v>Hospitality</x:v>
      </x:c>
      <x:c r="E1079" t="str">
        <x:v>VIC</x:v>
      </x:c>
      <x:c r="F1079" s="11" t="n">
        <x:v>41424.47</x:v>
      </x:c>
      <x:c r="G1079" s="13" t="n">
        <x:v>9542</x:v>
      </x:c>
      <x:c r="H1079" s="11" t="n">
        <x:v>20609.04</x:v>
      </x:c>
      <x:c r="I1079" s="11" t="n">
        <x:v>37124.23</x:v>
      </x:c>
    </x:row>
    <x:row r="1080">
      <x:c r="A1080" t="n">
        <x:v>2024</x:v>
      </x:c>
      <x:c r="B1080" t="str">
        <x:v>2024-03</x:v>
      </x:c>
      <x:c r="C1080" t="str">
        <x:v>Energy</x:v>
      </x:c>
      <x:c r="D1080" t="str">
        <x:v>Independent retail</x:v>
      </x:c>
      <x:c r="E1080" t="str">
        <x:v>NSW</x:v>
      </x:c>
      <x:c r="F1080" s="11" t="n">
        <x:v>119441.72</x:v>
      </x:c>
      <x:c r="G1080" s="13" t="n">
        <x:v>24226</x:v>
      </x:c>
      <x:c r="H1080" s="11" t="n">
        <x:v>66349.1</x:v>
      </x:c>
      <x:c r="I1080" s="11" t="n">
        <x:v>108022.58</x:v>
      </x:c>
    </x:row>
    <x:row r="1081">
      <x:c r="A1081" t="n">
        <x:v>2024</x:v>
      </x:c>
      <x:c r="B1081" t="str">
        <x:v>2024-03</x:v>
      </x:c>
      <x:c r="C1081" t="str">
        <x:v>Energy</x:v>
      </x:c>
      <x:c r="D1081" t="str">
        <x:v>Independent retail</x:v>
      </x:c>
      <x:c r="E1081" t="str">
        <x:v>QLD</x:v>
      </x:c>
      <x:c r="F1081" s="11" t="n">
        <x:v>118475.42</x:v>
      </x:c>
      <x:c r="G1081" s="13" t="n">
        <x:v>24008</x:v>
      </x:c>
      <x:c r="H1081" s="11" t="n">
        <x:v>64481.4</x:v>
      </x:c>
      <x:c r="I1081" s="11" t="n">
        <x:v>103862.56</x:v>
      </x:c>
    </x:row>
    <x:row r="1082">
      <x:c r="A1082" t="n">
        <x:v>2024</x:v>
      </x:c>
      <x:c r="B1082" t="str">
        <x:v>2024-03</x:v>
      </x:c>
      <x:c r="C1082" t="str">
        <x:v>Energy</x:v>
      </x:c>
      <x:c r="D1082" t="str">
        <x:v>Independent retail</x:v>
      </x:c>
      <x:c r="E1082" t="str">
        <x:v>VIC</x:v>
      </x:c>
      <x:c r="F1082" s="11" t="n">
        <x:v>114298.86</x:v>
      </x:c>
      <x:c r="G1082" s="13" t="n">
        <x:v>22927</x:v>
      </x:c>
      <x:c r="H1082" s="11" t="n">
        <x:v>62796.33</x:v>
      </x:c>
      <x:c r="I1082" s="11" t="n">
        <x:v>100758.22</x:v>
      </x:c>
    </x:row>
    <x:row r="1083">
      <x:c r="A1083" t="n">
        <x:v>2024</x:v>
      </x:c>
      <x:c r="B1083" t="str">
        <x:v>2024-03</x:v>
      </x:c>
      <x:c r="C1083" t="str">
        <x:v>Energy</x:v>
      </x:c>
      <x:c r="D1083" t="str">
        <x:v>Petrol</x:v>
      </x:c>
      <x:c r="E1083" t="str">
        <x:v>NSW</x:v>
      </x:c>
      <x:c r="F1083" s="11" t="n">
        <x:v>132321.39</x:v>
      </x:c>
      <x:c r="G1083" s="13" t="n">
        <x:v>24587</x:v>
      </x:c>
      <x:c r="H1083" s="11" t="n">
        <x:v>76857.11</x:v>
      </x:c>
      <x:c r="I1083" s="11" t="n">
        <x:v>116513.13</x:v>
      </x:c>
    </x:row>
    <x:row r="1084">
      <x:c r="A1084" t="n">
        <x:v>2024</x:v>
      </x:c>
      <x:c r="B1084" t="str">
        <x:v>2024-03</x:v>
      </x:c>
      <x:c r="C1084" t="str">
        <x:v>Energy</x:v>
      </x:c>
      <x:c r="D1084" t="str">
        <x:v>Petrol</x:v>
      </x:c>
      <x:c r="E1084" t="str">
        <x:v>QLD</x:v>
      </x:c>
      <x:c r="F1084" s="11" t="n">
        <x:v>128933.33</x:v>
      </x:c>
      <x:c r="G1084" s="13" t="n">
        <x:v>24547</x:v>
      </x:c>
      <x:c r="H1084" s="11" t="n">
        <x:v>74110.67</x:v>
      </x:c>
      <x:c r="I1084" s="11" t="n">
        <x:v>112043.46</x:v>
      </x:c>
    </x:row>
    <x:row r="1085">
      <x:c r="A1085" t="n">
        <x:v>2024</x:v>
      </x:c>
      <x:c r="B1085" t="str">
        <x:v>2024-03</x:v>
      </x:c>
      <x:c r="C1085" t="str">
        <x:v>Energy</x:v>
      </x:c>
      <x:c r="D1085" t="str">
        <x:v>Petrol</x:v>
      </x:c>
      <x:c r="E1085" t="str">
        <x:v>VIC</x:v>
      </x:c>
      <x:c r="F1085" s="11" t="n">
        <x:v>124916.76</x:v>
      </x:c>
      <x:c r="G1085" s="13" t="n">
        <x:v>23339</x:v>
      </x:c>
      <x:c r="H1085" s="11" t="n">
        <x:v>72061.44</x:v>
      </x:c>
      <x:c r="I1085" s="11" t="n">
        <x:v>108658.26</x:v>
      </x:c>
    </x:row>
    <x:row r="1086">
      <x:c r="A1086" t="n">
        <x:v>2024</x:v>
      </x:c>
      <x:c r="B1086" t="str">
        <x:v>2024-03</x:v>
      </x:c>
      <x:c r="C1086" t="str">
        <x:v>Sparkling</x:v>
      </x:c>
      <x:c r="D1086" t="str">
        <x:v>Convenience</x:v>
      </x:c>
      <x:c r="E1086" t="str">
        <x:v>NSW</x:v>
      </x:c>
      <x:c r="F1086" s="11" t="n">
        <x:v>143490.67</x:v>
      </x:c>
      <x:c r="G1086" s="13" t="n">
        <x:v>34118</x:v>
      </x:c>
      <x:c r="H1086" s="11" t="n">
        <x:v>78792.26</x:v>
      </x:c>
      <x:c r="I1086" s="11" t="n">
        <x:v>147383.57</x:v>
      </x:c>
    </x:row>
    <x:row r="1087">
      <x:c r="A1087" t="n">
        <x:v>2024</x:v>
      </x:c>
      <x:c r="B1087" t="str">
        <x:v>2024-03</x:v>
      </x:c>
      <x:c r="C1087" t="str">
        <x:v>Sparkling</x:v>
      </x:c>
      <x:c r="D1087" t="str">
        <x:v>Convenience</x:v>
      </x:c>
      <x:c r="E1087" t="str">
        <x:v>QLD</x:v>
      </x:c>
      <x:c r="F1087" s="11" t="n">
        <x:v>141455.1</x:v>
      </x:c>
      <x:c r="G1087" s="13" t="n">
        <x:v>34268</x:v>
      </x:c>
      <x:c r="H1087" s="11" t="n">
        <x:v>76215.61</x:v>
      </x:c>
      <x:c r="I1087" s="11" t="n">
        <x:v>141718.81</x:v>
      </x:c>
    </x:row>
    <x:row r="1088">
      <x:c r="A1088" t="n">
        <x:v>2024</x:v>
      </x:c>
      <x:c r="B1088" t="str">
        <x:v>2024-03</x:v>
      </x:c>
      <x:c r="C1088" t="str">
        <x:v>Sparkling</x:v>
      </x:c>
      <x:c r="D1088" t="str">
        <x:v>Convenience</x:v>
      </x:c>
      <x:c r="E1088" t="str">
        <x:v>VIC</x:v>
      </x:c>
      <x:c r="F1088" s="11" t="n">
        <x:v>135655.3</x:v>
      </x:c>
      <x:c r="G1088" s="13" t="n">
        <x:v>32854</x:v>
      </x:c>
      <x:c r="H1088" s="11" t="n">
        <x:v>73408</x:v>
      </x:c>
      <x:c r="I1088" s="11" t="n">
        <x:v>137456.84</x:v>
      </x:c>
    </x:row>
    <x:row r="1089">
      <x:c r="A1089" t="n">
        <x:v>2024</x:v>
      </x:c>
      <x:c r="B1089" t="str">
        <x:v>2024-03</x:v>
      </x:c>
      <x:c r="C1089" t="str">
        <x:v>Sparkling</x:v>
      </x:c>
      <x:c r="D1089" t="str">
        <x:v>Grocery</x:v>
      </x:c>
      <x:c r="E1089" t="str">
        <x:v>NSW</x:v>
      </x:c>
      <x:c r="F1089" s="11" t="n">
        <x:v>353589.79</x:v>
      </x:c>
      <x:c r="G1089" s="13" t="n">
        <x:v>99071</x:v>
      </x:c>
      <x:c r="H1089" s="11" t="n">
        <x:v>167973.38</x:v>
      </x:c>
      <x:c r="I1089" s="11" t="n">
        <x:v>366395.51</x:v>
      </x:c>
    </x:row>
    <x:row r="1090">
      <x:c r="A1090" t="n">
        <x:v>2024</x:v>
      </x:c>
      <x:c r="B1090" t="str">
        <x:v>2024-03</x:v>
      </x:c>
      <x:c r="C1090" t="str">
        <x:v>Sparkling</x:v>
      </x:c>
      <x:c r="D1090" t="str">
        <x:v>Grocery</x:v>
      </x:c>
      <x:c r="E1090" t="str">
        <x:v>QLD</x:v>
      </x:c>
      <x:c r="F1090" s="11" t="n">
        <x:v>345681.07</x:v>
      </x:c>
      <x:c r="G1090" s="13" t="n">
        <x:v>96004</x:v>
      </x:c>
      <x:c r="H1090" s="11" t="n">
        <x:v>166387.41999999998</x:v>
      </x:c>
      <x:c r="I1090" s="11" t="n">
        <x:v>352269.28</x:v>
      </x:c>
    </x:row>
    <x:row r="1091">
      <x:c r="A1091" t="n">
        <x:v>2024</x:v>
      </x:c>
      <x:c r="B1091" t="str">
        <x:v>2024-03</x:v>
      </x:c>
      <x:c r="C1091" t="str">
        <x:v>Sparkling</x:v>
      </x:c>
      <x:c r="D1091" t="str">
        <x:v>Grocery</x:v>
      </x:c>
      <x:c r="E1091" t="str">
        <x:v>VIC</x:v>
      </x:c>
      <x:c r="F1091" s="11" t="n">
        <x:v>331920.97</x:v>
      </x:c>
      <x:c r="G1091" s="13" t="n">
        <x:v>92760</x:v>
      </x:c>
      <x:c r="H1091" s="11" t="n">
        <x:v>158650.04</x:v>
      </x:c>
      <x:c r="I1091" s="11" t="n">
        <x:v>341767.92</x:v>
      </x:c>
    </x:row>
    <x:row r="1092">
      <x:c r="A1092" t="n">
        <x:v>2024</x:v>
      </x:c>
      <x:c r="B1092" t="str">
        <x:v>2024-03</x:v>
      </x:c>
      <x:c r="C1092" t="str">
        <x:v>Sparkling</x:v>
      </x:c>
      <x:c r="D1092" t="str">
        <x:v>Hospitality</x:v>
      </x:c>
      <x:c r="E1092" t="str">
        <x:v>NSW</x:v>
      </x:c>
      <x:c r="F1092" s="11" t="n">
        <x:v>46052.54</x:v>
      </x:c>
      <x:c r="G1092" s="13" t="n">
        <x:v>13915</x:v>
      </x:c>
      <x:c r="H1092" s="11" t="n">
        <x:v>19913.25</x:v>
      </x:c>
      <x:c r="I1092" s="11" t="n">
        <x:v>45842.18</x:v>
      </x:c>
    </x:row>
    <x:row r="1093">
      <x:c r="A1093" t="n">
        <x:v>2024</x:v>
      </x:c>
      <x:c r="B1093" t="str">
        <x:v>2024-03</x:v>
      </x:c>
      <x:c r="C1093" t="str">
        <x:v>Sparkling</x:v>
      </x:c>
      <x:c r="D1093" t="str">
        <x:v>Hospitality</x:v>
      </x:c>
      <x:c r="E1093" t="str">
        <x:v>QLD</x:v>
      </x:c>
      <x:c r="F1093" s="11" t="n">
        <x:v>43233.43</x:v>
      </x:c>
      <x:c r="G1093" s="13" t="n">
        <x:v>13222</x:v>
      </x:c>
      <x:c r="H1093" s="11" t="n">
        <x:v>18626.71</x:v>
      </x:c>
      <x:c r="I1093" s="11" t="n">
        <x:v>44101.56</x:v>
      </x:c>
    </x:row>
    <x:row r="1094">
      <x:c r="A1094" t="n">
        <x:v>2024</x:v>
      </x:c>
      <x:c r="B1094" t="str">
        <x:v>2024-03</x:v>
      </x:c>
      <x:c r="C1094" t="str">
        <x:v>Sparkling</x:v>
      </x:c>
      <x:c r="D1094" t="str">
        <x:v>Hospitality</x:v>
      </x:c>
      <x:c r="E1094" t="str">
        <x:v>VIC</x:v>
      </x:c>
      <x:c r="F1094" s="11" t="n">
        <x:v>41982.659999999996</x:v>
      </x:c>
      <x:c r="G1094" s="13" t="n">
        <x:v>12590</x:v>
      </x:c>
      <x:c r="H1094" s="11" t="n">
        <x:v>18305.28</x:v>
      </x:c>
      <x:c r="I1094" s="11" t="n">
        <x:v>42758.2</x:v>
      </x:c>
    </x:row>
    <x:row r="1095">
      <x:c r="A1095" t="n">
        <x:v>2024</x:v>
      </x:c>
      <x:c r="B1095" t="str">
        <x:v>2024-03</x:v>
      </x:c>
      <x:c r="C1095" t="str">
        <x:v>Sparkling</x:v>
      </x:c>
      <x:c r="D1095" t="str">
        <x:v>Independent retail</x:v>
      </x:c>
      <x:c r="E1095" t="str">
        <x:v>NSW</x:v>
      </x:c>
      <x:c r="F1095" s="11" t="n">
        <x:v>124740.06999999999</x:v>
      </x:c>
      <x:c r="G1095" s="13" t="n">
        <x:v>33857</x:v>
      </x:c>
      <x:c r="H1095" s="11" t="n">
        <x:v>60427.36</x:v>
      </x:c>
      <x:c r="I1095" s="11" t="n">
        <x:v>124698.56999999999</x:v>
      </x:c>
    </x:row>
    <x:row r="1096">
      <x:c r="A1096" t="n">
        <x:v>2024</x:v>
      </x:c>
      <x:c r="B1096" t="str">
        <x:v>2024-03</x:v>
      </x:c>
      <x:c r="C1096" t="str">
        <x:v>Sparkling</x:v>
      </x:c>
      <x:c r="D1096" t="str">
        <x:v>Independent retail</x:v>
      </x:c>
      <x:c r="E1096" t="str">
        <x:v>QLD</x:v>
      </x:c>
      <x:c r="F1096" s="11" t="n">
        <x:v>115854.87</x:v>
      </x:c>
      <x:c r="G1096" s="13" t="n">
        <x:v>31926</x:v>
      </x:c>
      <x:c r="H1096" s="11" t="n">
        <x:v>55527.66</x:v>
      </x:c>
      <x:c r="I1096" s="11" t="n">
        <x:v>119886.18</x:v>
      </x:c>
    </x:row>
    <x:row r="1097">
      <x:c r="A1097" t="n">
        <x:v>2024</x:v>
      </x:c>
      <x:c r="B1097" t="str">
        <x:v>2024-03</x:v>
      </x:c>
      <x:c r="C1097" t="str">
        <x:v>Sparkling</x:v>
      </x:c>
      <x:c r="D1097" t="str">
        <x:v>Independent retail</x:v>
      </x:c>
      <x:c r="E1097" t="str">
        <x:v>VIC</x:v>
      </x:c>
      <x:c r="F1097" s="11" t="n">
        <x:v>112932.05</x:v>
      </x:c>
      <x:c r="G1097" s="13" t="n">
        <x:v>31046</x:v>
      </x:c>
      <x:c r="H1097" s="11" t="n">
        <x:v>54207.69</x:v>
      </x:c>
      <x:c r="I1097" s="11" t="n">
        <x:v>116297.11</x:v>
      </x:c>
    </x:row>
    <x:row r="1098">
      <x:c r="A1098" t="n">
        <x:v>2024</x:v>
      </x:c>
      <x:c r="B1098" t="str">
        <x:v>2024-03</x:v>
      </x:c>
      <x:c r="C1098" t="str">
        <x:v>Sparkling</x:v>
      </x:c>
      <x:c r="D1098" t="str">
        <x:v>Petrol</x:v>
      </x:c>
      <x:c r="E1098" t="str">
        <x:v>NSW</x:v>
      </x:c>
      <x:c r="F1098" s="11" t="n">
        <x:v>132549.57</x:v>
      </x:c>
      <x:c r="G1098" s="13" t="n">
        <x:v>33694</x:v>
      </x:c>
      <x:c r="H1098" s="11" t="n">
        <x:v>69142.35</x:v>
      </x:c>
      <x:c r="I1098" s="11" t="n">
        <x:v>134376.42</x:v>
      </x:c>
    </x:row>
    <x:row r="1099">
      <x:c r="A1099" t="n">
        <x:v>2024</x:v>
      </x:c>
      <x:c r="B1099" t="str">
        <x:v>2024-03</x:v>
      </x:c>
      <x:c r="C1099" t="str">
        <x:v>Sparkling</x:v>
      </x:c>
      <x:c r="D1099" t="str">
        <x:v>Petrol</x:v>
      </x:c>
      <x:c r="E1099" t="str">
        <x:v>QLD</x:v>
      </x:c>
      <x:c r="F1099" s="11" t="n">
        <x:v>128667.37</x:v>
      </x:c>
      <x:c r="G1099" s="13" t="n">
        <x:v>32236</x:v>
      </x:c>
      <x:c r="H1099" s="11" t="n">
        <x:v>68393</x:v>
      </x:c>
      <x:c r="I1099" s="11" t="n">
        <x:v>129220.67</x:v>
      </x:c>
    </x:row>
    <x:row r="1100">
      <x:c r="A1100" t="n">
        <x:v>2024</x:v>
      </x:c>
      <x:c r="B1100" t="str">
        <x:v>2024-03</x:v>
      </x:c>
      <x:c r="C1100" t="str">
        <x:v>Sparkling</x:v>
      </x:c>
      <x:c r="D1100" t="str">
        <x:v>Petrol</x:v>
      </x:c>
      <x:c r="E1100" t="str">
        <x:v>VIC</x:v>
      </x:c>
      <x:c r="F1100" s="11" t="n">
        <x:v>122625.09</x:v>
      </x:c>
      <x:c r="G1100" s="13" t="n">
        <x:v>31052</x:v>
      </x:c>
      <x:c r="H1100" s="11" t="n">
        <x:v>64227.99</x:v>
      </x:c>
      <x:c r="I1100" s="11" t="n">
        <x:v>125345.22</x:v>
      </x:c>
    </x:row>
    <x:row r="1101">
      <x:c r="A1101" t="n">
        <x:v>2024</x:v>
      </x:c>
      <x:c r="B1101" t="str">
        <x:v>2024-03</x:v>
      </x:c>
      <x:c r="C1101" t="str">
        <x:v>Sports</x:v>
      </x:c>
      <x:c r="D1101" t="str">
        <x:v>Convenience</x:v>
      </x:c>
      <x:c r="E1101" t="str">
        <x:v>NSW</x:v>
      </x:c>
      <x:c r="F1101" s="11" t="n">
        <x:v>87487.89</x:v>
      </x:c>
      <x:c r="G1101" s="13" t="n">
        <x:v>16588</x:v>
      </x:c>
      <x:c r="H1101" s="11" t="n">
        <x:v>46936.46</x:v>
      </x:c>
      <x:c r="I1101" s="11" t="n">
        <x:v>81349.02</x:v>
      </x:c>
    </x:row>
    <x:row r="1102">
      <x:c r="A1102" t="n">
        <x:v>2024</x:v>
      </x:c>
      <x:c r="B1102" t="str">
        <x:v>2024-03</x:v>
      </x:c>
      <x:c r="C1102" t="str">
        <x:v>Sports</x:v>
      </x:c>
      <x:c r="D1102" t="str">
        <x:v>Convenience</x:v>
      </x:c>
      <x:c r="E1102" t="str">
        <x:v>QLD</x:v>
      </x:c>
      <x:c r="F1102" s="11" t="n">
        <x:v>83085.1</x:v>
      </x:c>
      <x:c r="G1102" s="13" t="n">
        <x:v>16522</x:v>
      </x:c>
      <x:c r="H1102" s="11" t="n">
        <x:v>42938.04</x:v>
      </x:c>
      <x:c r="I1102" s="11" t="n">
        <x:v>78229.43000000001</x:v>
      </x:c>
    </x:row>
    <x:row r="1103">
      <x:c r="A1103" t="n">
        <x:v>2024</x:v>
      </x:c>
      <x:c r="B1103" t="str">
        <x:v>2024-03</x:v>
      </x:c>
      <x:c r="C1103" t="str">
        <x:v>Sports</x:v>
      </x:c>
      <x:c r="D1103" t="str">
        <x:v>Convenience</x:v>
      </x:c>
      <x:c r="E1103" t="str">
        <x:v>VIC</x:v>
      </x:c>
      <x:c r="F1103" s="11" t="n">
        <x:v>77793.86</x:v>
      </x:c>
      <x:c r="G1103" s="13" t="n">
        <x:v>15328</x:v>
      </x:c>
      <x:c r="H1103" s="11" t="n">
        <x:v>40749.91</x:v>
      </x:c>
      <x:c r="I1103" s="11" t="n">
        <x:v>75860.65</x:v>
      </x:c>
    </x:row>
    <x:row r="1104">
      <x:c r="A1104" t="n">
        <x:v>2024</x:v>
      </x:c>
      <x:c r="B1104" t="str">
        <x:v>2024-03</x:v>
      </x:c>
      <x:c r="C1104" t="str">
        <x:v>Sports</x:v>
      </x:c>
      <x:c r="D1104" t="str">
        <x:v>Grocery</x:v>
      </x:c>
      <x:c r="E1104" t="str">
        <x:v>NSW</x:v>
      </x:c>
      <x:c r="F1104" s="11" t="n">
        <x:v>214773.56</x:v>
      </x:c>
      <x:c r="G1104" s="13" t="n">
        <x:v>49541</x:v>
      </x:c>
      <x:c r="H1104" s="11" t="n">
        <x:v>96789.65</x:v>
      </x:c>
      <x:c r="I1104" s="11" t="n">
        <x:v>201969.43</x:v>
      </x:c>
    </x:row>
    <x:row r="1105">
      <x:c r="A1105" t="n">
        <x:v>2024</x:v>
      </x:c>
      <x:c r="B1105" t="str">
        <x:v>2024-03</x:v>
      </x:c>
      <x:c r="C1105" t="str">
        <x:v>Sports</x:v>
      </x:c>
      <x:c r="D1105" t="str">
        <x:v>Grocery</x:v>
      </x:c>
      <x:c r="E1105" t="str">
        <x:v>QLD</x:v>
      </x:c>
      <x:c r="F1105" s="11" t="n">
        <x:v>196382.83</x:v>
      </x:c>
      <x:c r="G1105" s="13" t="n">
        <x:v>42924</x:v>
      </x:c>
      <x:c r="H1105" s="11" t="n">
        <x:v>92087.36</x:v>
      </x:c>
      <x:c r="I1105" s="11" t="n">
        <x:v>194213.38</x:v>
      </x:c>
    </x:row>
    <x:row r="1106">
      <x:c r="A1106" t="n">
        <x:v>2024</x:v>
      </x:c>
      <x:c r="B1106" t="str">
        <x:v>2024-03</x:v>
      </x:c>
      <x:c r="C1106" t="str">
        <x:v>Sports</x:v>
      </x:c>
      <x:c r="D1106" t="str">
        <x:v>Grocery</x:v>
      </x:c>
      <x:c r="E1106" t="str">
        <x:v>VIC</x:v>
      </x:c>
      <x:c r="F1106" s="11" t="n">
        <x:v>196540.54</x:v>
      </x:c>
      <x:c r="G1106" s="13" t="n">
        <x:v>43670</x:v>
      </x:c>
      <x:c r="H1106" s="11" t="n">
        <x:v>91390.59</x:v>
      </x:c>
      <x:c r="I1106" s="11" t="n">
        <x:v>188370.67</x:v>
      </x:c>
    </x:row>
    <x:row r="1107">
      <x:c r="A1107" t="n">
        <x:v>2024</x:v>
      </x:c>
      <x:c r="B1107" t="str">
        <x:v>2024-03</x:v>
      </x:c>
      <x:c r="C1107" t="str">
        <x:v>Sports</x:v>
      </x:c>
      <x:c r="D1107" t="str">
        <x:v>Hospitality</x:v>
      </x:c>
      <x:c r="E1107" t="str">
        <x:v>NSW</x:v>
      </x:c>
      <x:c r="F1107" s="11" t="n">
        <x:v>26711.3</x:v>
      </x:c>
      <x:c r="G1107" s="13" t="n">
        <x:v>6487</x:v>
      </x:c>
      <x:c r="H1107" s="11" t="n">
        <x:v>11153.48</x:v>
      </x:c>
      <x:c r="I1107" s="11" t="n">
        <x:v>25280.88</x:v>
      </x:c>
    </x:row>
    <x:row r="1108">
      <x:c r="A1108" t="n">
        <x:v>2024</x:v>
      </x:c>
      <x:c r="B1108" t="str">
        <x:v>2024-03</x:v>
      </x:c>
      <x:c r="C1108" t="str">
        <x:v>Sports</x:v>
      </x:c>
      <x:c r="D1108" t="str">
        <x:v>Hospitality</x:v>
      </x:c>
      <x:c r="E1108" t="str">
        <x:v>QLD</x:v>
      </x:c>
      <x:c r="F1108" s="11" t="n">
        <x:v>25384.19</x:v>
      </x:c>
      <x:c r="G1108" s="13" t="n">
        <x:v>6210</x:v>
      </x:c>
      <x:c r="H1108" s="11" t="n">
        <x:v>10541.16</x:v>
      </x:c>
      <x:c r="I1108" s="11" t="n">
        <x:v>24304.17</x:v>
      </x:c>
    </x:row>
    <x:row r="1109">
      <x:c r="A1109" t="n">
        <x:v>2024</x:v>
      </x:c>
      <x:c r="B1109" t="str">
        <x:v>2024-03</x:v>
      </x:c>
      <x:c r="C1109" t="str">
        <x:v>Sports</x:v>
      </x:c>
      <x:c r="D1109" t="str">
        <x:v>Hospitality</x:v>
      </x:c>
      <x:c r="E1109" t="str">
        <x:v>VIC</x:v>
      </x:c>
      <x:c r="F1109" s="11" t="n">
        <x:v>25597.97</x:v>
      </x:c>
      <x:c r="G1109" s="13" t="n">
        <x:v>6101</x:v>
      </x:c>
      <x:c r="H1109" s="11" t="n">
        <x:v>10831.53</x:v>
      </x:c>
      <x:c r="I1109" s="11" t="n">
        <x:v>23587.55</x:v>
      </x:c>
    </x:row>
    <x:row r="1110">
      <x:c r="A1110" t="n">
        <x:v>2024</x:v>
      </x:c>
      <x:c r="B1110" t="str">
        <x:v>2024-03</x:v>
      </x:c>
      <x:c r="C1110" t="str">
        <x:v>Sports</x:v>
      </x:c>
      <x:c r="D1110" t="str">
        <x:v>Independent retail</x:v>
      </x:c>
      <x:c r="E1110" t="str">
        <x:v>NSW</x:v>
      </x:c>
      <x:c r="F1110" s="11" t="n">
        <x:v>71424.53</x:v>
      </x:c>
      <x:c r="G1110" s="13" t="n">
        <x:v>15712</x:v>
      </x:c>
      <x:c r="H1110" s="11" t="n">
        <x:v>33060.39</x:v>
      </x:c>
      <x:c r="I1110" s="11" t="n">
        <x:v>68653.33</x:v>
      </x:c>
    </x:row>
    <x:row r="1111">
      <x:c r="A1111" t="n">
        <x:v>2024</x:v>
      </x:c>
      <x:c r="B1111" t="str">
        <x:v>2024-03</x:v>
      </x:c>
      <x:c r="C1111" t="str">
        <x:v>Sports</x:v>
      </x:c>
      <x:c r="D1111" t="str">
        <x:v>Independent retail</x:v>
      </x:c>
      <x:c r="E1111" t="str">
        <x:v>QLD</x:v>
      </x:c>
      <x:c r="F1111" s="11" t="n">
        <x:v>70822.74</x:v>
      </x:c>
      <x:c r="G1111" s="13" t="n">
        <x:v>16208</x:v>
      </x:c>
      <x:c r="H1111" s="11" t="n">
        <x:v>31990.28</x:v>
      </x:c>
      <x:c r="I1111" s="11" t="n">
        <x:v>66006.62</x:v>
      </x:c>
    </x:row>
    <x:row r="1112">
      <x:c r="A1112" t="n">
        <x:v>2024</x:v>
      </x:c>
      <x:c r="B1112" t="str">
        <x:v>2024-03</x:v>
      </x:c>
      <x:c r="C1112" t="str">
        <x:v>Sports</x:v>
      </x:c>
      <x:c r="D1112" t="str">
        <x:v>Independent retail</x:v>
      </x:c>
      <x:c r="E1112" t="str">
        <x:v>VIC</x:v>
      </x:c>
      <x:c r="F1112" s="11" t="n">
        <x:v>67912.16</x:v>
      </x:c>
      <x:c r="G1112" s="13" t="n">
        <x:v>15316</x:v>
      </x:c>
      <x:c r="H1112" s="11" t="n">
        <x:v>30905.52</x:v>
      </x:c>
      <x:c r="I1112" s="11" t="n">
        <x:v>64014.68</x:v>
      </x:c>
    </x:row>
    <x:row r="1113">
      <x:c r="A1113" t="n">
        <x:v>2024</x:v>
      </x:c>
      <x:c r="B1113" t="str">
        <x:v>2024-03</x:v>
      </x:c>
      <x:c r="C1113" t="str">
        <x:v>Sports</x:v>
      </x:c>
      <x:c r="D1113" t="str">
        <x:v>Petrol</x:v>
      </x:c>
      <x:c r="E1113" t="str">
        <x:v>NSW</x:v>
      </x:c>
      <x:c r="F1113" s="11" t="n">
        <x:v>81118.18</x:v>
      </x:c>
      <x:c r="G1113" s="13" t="n">
        <x:v>16984</x:v>
      </x:c>
      <x:c r="H1113" s="11" t="n">
        <x:v>40289.26</x:v>
      </x:c>
      <x:c r="I1113" s="11" t="n">
        <x:v>74428.88</x:v>
      </x:c>
    </x:row>
    <x:row r="1114">
      <x:c r="A1114" t="n">
        <x:v>2024</x:v>
      </x:c>
      <x:c r="B1114" t="str">
        <x:v>2024-03</x:v>
      </x:c>
      <x:c r="C1114" t="str">
        <x:v>Sports</x:v>
      </x:c>
      <x:c r="D1114" t="str">
        <x:v>Petrol</x:v>
      </x:c>
      <x:c r="E1114" t="str">
        <x:v>QLD</x:v>
      </x:c>
      <x:c r="F1114" s="11" t="n">
        <x:v>74368.74</x:v>
      </x:c>
      <x:c r="G1114" s="13" t="n">
        <x:v>15180</x:v>
      </x:c>
      <x:c r="H1114" s="11" t="n">
        <x:v>37971.64</x:v>
      </x:c>
      <x:c r="I1114" s="11" t="n">
        <x:v>71570.29</x:v>
      </x:c>
    </x:row>
    <x:row r="1115">
      <x:c r="A1115" t="n">
        <x:v>2024</x:v>
      </x:c>
      <x:c r="B1115" t="str">
        <x:v>2024-03</x:v>
      </x:c>
      <x:c r="C1115" t="str">
        <x:v>Sports</x:v>
      </x:c>
      <x:c r="D1115" t="str">
        <x:v>Petrol</x:v>
      </x:c>
      <x:c r="E1115" t="str">
        <x:v>VIC</x:v>
      </x:c>
      <x:c r="F1115" s="11" t="n">
        <x:v>74770.15</x:v>
      </x:c>
      <x:c r="G1115" s="13" t="n">
        <x:v>15732</x:v>
      </x:c>
      <x:c r="H1115" s="11" t="n">
        <x:v>37302.55</x:v>
      </x:c>
      <x:c r="I1115" s="11" t="n">
        <x:v>69427.63</x:v>
      </x:c>
    </x:row>
    <x:row r="1116">
      <x:c r="A1116" t="n">
        <x:v>2024</x:v>
      </x:c>
      <x:c r="B1116" t="str">
        <x:v>2024-03</x:v>
      </x:c>
      <x:c r="C1116" t="str">
        <x:v>Water</x:v>
      </x:c>
      <x:c r="D1116" t="str">
        <x:v>Convenience</x:v>
      </x:c>
      <x:c r="E1116" t="str">
        <x:v>NSW</x:v>
      </x:c>
      <x:c r="F1116" s="11" t="n">
        <x:v>94814.57</x:v>
      </x:c>
      <x:c r="G1116" s="13" t="n">
        <x:v>30413</x:v>
      </x:c>
      <x:c r="H1116" s="11" t="n">
        <x:v>44803.409999999996</x:v>
      </x:c>
      <x:c r="I1116" s="11" t="n">
        <x:v>96937.34</x:v>
      </x:c>
    </x:row>
    <x:row r="1117">
      <x:c r="A1117" t="n">
        <x:v>2024</x:v>
      </x:c>
      <x:c r="B1117" t="str">
        <x:v>2024-03</x:v>
      </x:c>
      <x:c r="C1117" t="str">
        <x:v>Water</x:v>
      </x:c>
      <x:c r="D1117" t="str">
        <x:v>Convenience</x:v>
      </x:c>
      <x:c r="E1117" t="str">
        <x:v>QLD</x:v>
      </x:c>
      <x:c r="F1117" s="11" t="n">
        <x:v>93822.18000000001</x:v>
      </x:c>
      <x:c r="G1117" s="13" t="n">
        <x:v>28586</x:v>
      </x:c>
      <x:c r="H1117" s="11" t="n">
        <x:v>46266.13</x:v>
      </x:c>
      <x:c r="I1117" s="11" t="n">
        <x:v>93221.31</x:v>
      </x:c>
    </x:row>
    <x:row r="1118">
      <x:c r="A1118" t="n">
        <x:v>2024</x:v>
      </x:c>
      <x:c r="B1118" t="str">
        <x:v>2024-03</x:v>
      </x:c>
      <x:c r="C1118" t="str">
        <x:v>Water</x:v>
      </x:c>
      <x:c r="D1118" t="str">
        <x:v>Convenience</x:v>
      </x:c>
      <x:c r="E1118" t="str">
        <x:v>VIC</x:v>
      </x:c>
      <x:c r="F1118" s="11" t="n">
        <x:v>91651.96</x:v>
      </x:c>
      <x:c r="G1118" s="13" t="n">
        <x:v>28608</x:v>
      </x:c>
      <x:c r="H1118" s="11" t="n">
        <x:v>44335.58</x:v>
      </x:c>
      <x:c r="I1118" s="11" t="n">
        <x:v>90409.75</x:v>
      </x:c>
    </x:row>
    <x:row r="1119">
      <x:c r="A1119" t="n">
        <x:v>2024</x:v>
      </x:c>
      <x:c r="B1119" t="str">
        <x:v>2024-03</x:v>
      </x:c>
      <x:c r="C1119" t="str">
        <x:v>Water</x:v>
      </x:c>
      <x:c r="D1119" t="str">
        <x:v>Grocery</x:v>
      </x:c>
      <x:c r="E1119" t="str">
        <x:v>NSW</x:v>
      </x:c>
      <x:c r="F1119" s="11" t="n">
        <x:v>234851.37</x:v>
      </x:c>
      <x:c r="G1119" s="13" t="n">
        <x:v>85264</x:v>
      </x:c>
      <x:c r="H1119" s="11" t="n">
        <x:v>93824.92</x:v>
      </x:c>
      <x:c r="I1119" s="11" t="n">
        <x:v>241640.45</x:v>
      </x:c>
    </x:row>
    <x:row r="1120">
      <x:c r="A1120" t="n">
        <x:v>2024</x:v>
      </x:c>
      <x:c r="B1120" t="str">
        <x:v>2024-03</x:v>
      </x:c>
      <x:c r="C1120" t="str">
        <x:v>Water</x:v>
      </x:c>
      <x:c r="D1120" t="str">
        <x:v>Grocery</x:v>
      </x:c>
      <x:c r="E1120" t="str">
        <x:v>QLD</x:v>
      </x:c>
      <x:c r="F1120" s="11" t="n">
        <x:v>238990</x:v>
      </x:c>
      <x:c r="G1120" s="13" t="n">
        <x:v>89314</x:v>
      </x:c>
      <x:c r="H1120" s="11" t="n">
        <x:v>91614.3</x:v>
      </x:c>
      <x:c r="I1120" s="11" t="n">
        <x:v>232367.11</x:v>
      </x:c>
    </x:row>
    <x:row r="1121">
      <x:c r="A1121" t="n">
        <x:v>2024</x:v>
      </x:c>
      <x:c r="B1121" t="str">
        <x:v>2024-03</x:v>
      </x:c>
      <x:c r="C1121" t="str">
        <x:v>Water</x:v>
      </x:c>
      <x:c r="D1121" t="str">
        <x:v>Grocery</x:v>
      </x:c>
      <x:c r="E1121" t="str">
        <x:v>VIC</x:v>
      </x:c>
      <x:c r="F1121" s="11" t="n">
        <x:v>217676.18</x:v>
      </x:c>
      <x:c r="G1121" s="13" t="n">
        <x:v>81228</x:v>
      </x:c>
      <x:c r="H1121" s="11" t="n">
        <x:v>84040.92</x:v>
      </x:c>
      <x:c r="I1121" s="11" t="n">
        <x:v>225386.77</x:v>
      </x:c>
    </x:row>
    <x:row r="1122">
      <x:c r="A1122" t="n">
        <x:v>2024</x:v>
      </x:c>
      <x:c r="B1122" t="str">
        <x:v>2024-03</x:v>
      </x:c>
      <x:c r="C1122" t="str">
        <x:v>Water</x:v>
      </x:c>
      <x:c r="D1122" t="str">
        <x:v>Hospitality</x:v>
      </x:c>
      <x:c r="E1122" t="str">
        <x:v>NSW</x:v>
      </x:c>
      <x:c r="F1122" s="11" t="n">
        <x:v>30501.34</x:v>
      </x:c>
      <x:c r="G1122" s="13" t="n">
        <x:v>12307</x:v>
      </x:c>
      <x:c r="H1122" s="11" t="n">
        <x:v>10208.63</x:v>
      </x:c>
      <x:c r="I1122" s="11" t="n">
        <x:v>30250.67</x:v>
      </x:c>
    </x:row>
    <x:row r="1123">
      <x:c r="A1123" t="n">
        <x:v>2024</x:v>
      </x:c>
      <x:c r="B1123" t="str">
        <x:v>2024-03</x:v>
      </x:c>
      <x:c r="C1123" t="str">
        <x:v>Water</x:v>
      </x:c>
      <x:c r="D1123" t="str">
        <x:v>Hospitality</x:v>
      </x:c>
      <x:c r="E1123" t="str">
        <x:v>QLD</x:v>
      </x:c>
      <x:c r="F1123" s="11" t="n">
        <x:v>29803.13</x:v>
      </x:c>
      <x:c r="G1123" s="13" t="n">
        <x:v>11785</x:v>
      </x:c>
      <x:c r="H1123" s="11" t="n">
        <x:v>10094.45</x:v>
      </x:c>
      <x:c r="I1123" s="11" t="n">
        <x:v>29089.37</x:v>
      </x:c>
    </x:row>
    <x:row r="1124">
      <x:c r="A1124" t="n">
        <x:v>2024</x:v>
      </x:c>
      <x:c r="B1124" t="str">
        <x:v>2024-03</x:v>
      </x:c>
      <x:c r="C1124" t="str">
        <x:v>Water</x:v>
      </x:c>
      <x:c r="D1124" t="str">
        <x:v>Hospitality</x:v>
      </x:c>
      <x:c r="E1124" t="str">
        <x:v>VIC</x:v>
      </x:c>
      <x:c r="F1124" s="11" t="n">
        <x:v>28694.41</x:v>
      </x:c>
      <x:c r="G1124" s="13" t="n">
        <x:v>11645</x:v>
      </x:c>
      <x:c r="H1124" s="11" t="n">
        <x:v>9496.85</x:v>
      </x:c>
      <x:c r="I1124" s="11" t="n">
        <x:v>28217.88</x:v>
      </x:c>
    </x:row>
    <x:row r="1125">
      <x:c r="A1125" t="n">
        <x:v>2024</x:v>
      </x:c>
      <x:c r="B1125" t="str">
        <x:v>2024-03</x:v>
      </x:c>
      <x:c r="C1125" t="str">
        <x:v>Water</x:v>
      </x:c>
      <x:c r="D1125" t="str">
        <x:v>Independent retail</x:v>
      </x:c>
      <x:c r="E1125" t="str">
        <x:v>NSW</x:v>
      </x:c>
      <x:c r="F1125" s="11" t="n">
        <x:v>83127.31</x:v>
      </x:c>
      <x:c r="G1125" s="13" t="n">
        <x:v>29531</x:v>
      </x:c>
      <x:c r="H1125" s="11" t="n">
        <x:v>34632.22</x:v>
      </x:c>
      <x:c r="I1125" s="11" t="n">
        <x:v>82262.85</x:v>
      </x:c>
    </x:row>
    <x:row r="1126">
      <x:c r="A1126" t="n">
        <x:v>2024</x:v>
      </x:c>
      <x:c r="B1126" t="str">
        <x:v>2024-03</x:v>
      </x:c>
      <x:c r="C1126" t="str">
        <x:v>Water</x:v>
      </x:c>
      <x:c r="D1126" t="str">
        <x:v>Independent retail</x:v>
      </x:c>
      <x:c r="E1126" t="str">
        <x:v>QLD</x:v>
      </x:c>
      <x:c r="F1126" s="11" t="n">
        <x:v>77655.93</x:v>
      </x:c>
      <x:c r="G1126" s="13" t="n">
        <x:v>26764</x:v>
      </x:c>
      <x:c r="H1126" s="11" t="n">
        <x:v>33715.04</x:v>
      </x:c>
      <x:c r="I1126" s="11" t="n">
        <x:v>79089.51</x:v>
      </x:c>
    </x:row>
    <x:row r="1127">
      <x:c r="A1127" t="n">
        <x:v>2024</x:v>
      </x:c>
      <x:c r="B1127" t="str">
        <x:v>2024-03</x:v>
      </x:c>
      <x:c r="C1127" t="str">
        <x:v>Water</x:v>
      </x:c>
      <x:c r="D1127" t="str">
        <x:v>Independent retail</x:v>
      </x:c>
      <x:c r="E1127" t="str">
        <x:v>VIC</x:v>
      </x:c>
      <x:c r="F1127" s="11" t="n">
        <x:v>76739.71</x:v>
      </x:c>
      <x:c r="G1127" s="13" t="n">
        <x:v>26794</x:v>
      </x:c>
      <x:c r="H1127" s="11" t="n">
        <x:v>32875.49</x:v>
      </x:c>
      <x:c r="I1127" s="11" t="n">
        <x:v>76727.93</x:v>
      </x:c>
    </x:row>
    <x:row r="1128">
      <x:c r="A1128" t="n">
        <x:v>2024</x:v>
      </x:c>
      <x:c r="B1128" t="str">
        <x:v>2024-03</x:v>
      </x:c>
      <x:c r="C1128" t="str">
        <x:v>Water</x:v>
      </x:c>
      <x:c r="D1128" t="str">
        <x:v>Petrol</x:v>
      </x:c>
      <x:c r="E1128" t="str">
        <x:v>NSW</x:v>
      </x:c>
      <x:c r="F1128" s="11" t="n">
        <x:v>87062.3</x:v>
      </x:c>
      <x:c r="G1128" s="13" t="n">
        <x:v>27385</x:v>
      </x:c>
      <x:c r="H1128" s="11" t="n">
        <x:v>41780.25</x:v>
      </x:c>
      <x:c r="I1128" s="11" t="n">
        <x:v>88462.33</x:v>
      </x:c>
    </x:row>
    <x:row r="1129">
      <x:c r="A1129" t="n">
        <x:v>2024</x:v>
      </x:c>
      <x:c r="B1129" t="str">
        <x:v>2024-03</x:v>
      </x:c>
      <x:c r="C1129" t="str">
        <x:v>Water</x:v>
      </x:c>
      <x:c r="D1129" t="str">
        <x:v>Petrol</x:v>
      </x:c>
      <x:c r="E1129" t="str">
        <x:v>QLD</x:v>
      </x:c>
      <x:c r="F1129" s="11" t="n">
        <x:v>84205.67</x:v>
      </x:c>
      <x:c r="G1129" s="13" t="n">
        <x:v>27128</x:v>
      </x:c>
      <x:c r="H1129" s="11" t="n">
        <x:v>38979.85</x:v>
      </x:c>
      <x:c r="I1129" s="11" t="n">
        <x:v>85063.28</x:v>
      </x:c>
    </x:row>
    <x:row r="1130">
      <x:c r="A1130" t="n">
        <x:v>2024</x:v>
      </x:c>
      <x:c r="B1130" t="str">
        <x:v>2024-03</x:v>
      </x:c>
      <x:c r="C1130" t="str">
        <x:v>Water</x:v>
      </x:c>
      <x:c r="D1130" t="str">
        <x:v>Petrol</x:v>
      </x:c>
      <x:c r="E1130" t="str">
        <x:v>VIC</x:v>
      </x:c>
      <x:c r="F1130" s="11" t="n">
        <x:v>81932.39</x:v>
      </x:c>
      <x:c r="G1130" s="13" t="n">
        <x:v>25858</x:v>
      </x:c>
      <x:c r="H1130" s="11" t="n">
        <x:v>38890.5</x:v>
      </x:c>
      <x:c r="I1130" s="11" t="n">
        <x:v>82511.18</x:v>
      </x:c>
    </x:row>
    <x:row r="1131">
      <x:c r="A1131" t="n">
        <x:v>2024</x:v>
      </x:c>
      <x:c r="B1131" t="str">
        <x:v>2024-04</x:v>
      </x:c>
      <x:c r="C1131" t="str">
        <x:v>Coffee</x:v>
      </x:c>
      <x:c r="D1131" t="str">
        <x:v>Convenience</x:v>
      </x:c>
      <x:c r="E1131" t="str">
        <x:v>NSW</x:v>
      </x:c>
      <x:c r="F1131" s="11" t="n">
        <x:v>21348.57</x:v>
      </x:c>
      <x:c r="G1131" s="13" t="n">
        <x:v>4015</x:v>
      </x:c>
      <x:c r="H1131" s="11" t="n">
        <x:v>9323.08</x:v>
      </x:c>
      <x:c r="I1131" s="11" t="n">
        <x:v>29589.91</x:v>
      </x:c>
    </x:row>
    <x:row r="1132">
      <x:c r="A1132" t="n">
        <x:v>2024</x:v>
      </x:c>
      <x:c r="B1132" t="str">
        <x:v>2024-04</x:v>
      </x:c>
      <x:c r="C1132" t="str">
        <x:v>Coffee</x:v>
      </x:c>
      <x:c r="D1132" t="str">
        <x:v>Convenience</x:v>
      </x:c>
      <x:c r="E1132" t="str">
        <x:v>QLD</x:v>
      </x:c>
      <x:c r="F1132" s="11" t="n">
        <x:v>20601.24</x:v>
      </x:c>
      <x:c r="G1132" s="13" t="n">
        <x:v>4051</x:v>
      </x:c>
      <x:c r="H1132" s="11" t="n">
        <x:v>8452.28</x:v>
      </x:c>
      <x:c r="I1132" s="11" t="n">
        <x:v>28458.39</x:v>
      </x:c>
    </x:row>
    <x:row r="1133">
      <x:c r="A1133" t="n">
        <x:v>2024</x:v>
      </x:c>
      <x:c r="B1133" t="str">
        <x:v>2024-04</x:v>
      </x:c>
      <x:c r="C1133" t="str">
        <x:v>Coffee</x:v>
      </x:c>
      <x:c r="D1133" t="str">
        <x:v>Convenience</x:v>
      </x:c>
      <x:c r="E1133" t="str">
        <x:v>VIC</x:v>
      </x:c>
      <x:c r="F1133" s="11" t="n">
        <x:v>20235.06</x:v>
      </x:c>
      <x:c r="G1133" s="13" t="n">
        <x:v>3885</x:v>
      </x:c>
      <x:c r="H1133" s="11" t="n">
        <x:v>8483.22</x:v>
      </x:c>
      <x:c r="I1133" s="11" t="n">
        <x:v>27604.989999999998</x:v>
      </x:c>
    </x:row>
    <x:row r="1134">
      <x:c r="A1134" t="n">
        <x:v>2024</x:v>
      </x:c>
      <x:c r="B1134" t="str">
        <x:v>2024-04</x:v>
      </x:c>
      <x:c r="C1134" t="str">
        <x:v>Coffee</x:v>
      </x:c>
      <x:c r="D1134" t="str">
        <x:v>Grocery</x:v>
      </x:c>
      <x:c r="E1134" t="str">
        <x:v>NSW</x:v>
      </x:c>
      <x:c r="F1134" s="11" t="n">
        <x:v>53654.33</x:v>
      </x:c>
      <x:c r="G1134" s="13" t="n">
        <x:v>12076</x:v>
      </x:c>
      <x:c r="H1134" s="11" t="n">
        <x:v>17729.95</x:v>
      </x:c>
      <x:c r="I1134" s="11" t="n">
        <x:v>73487.53</x:v>
      </x:c>
    </x:row>
    <x:row r="1135">
      <x:c r="A1135" t="n">
        <x:v>2024</x:v>
      </x:c>
      <x:c r="B1135" t="str">
        <x:v>2024-04</x:v>
      </x:c>
      <x:c r="C1135" t="str">
        <x:v>Coffee</x:v>
      </x:c>
      <x:c r="D1135" t="str">
        <x:v>Grocery</x:v>
      </x:c>
      <x:c r="E1135" t="str">
        <x:v>QLD</x:v>
      </x:c>
      <x:c r="F1135" s="11" t="n">
        <x:v>53035.82</x:v>
      </x:c>
      <x:c r="G1135" s="13" t="n">
        <x:v>11375</x:v>
      </x:c>
      <x:c r="H1135" s="11" t="n">
        <x:v>18844.26</x:v>
      </x:c>
      <x:c r="I1135" s="11" t="n">
        <x:v>70653.1</x:v>
      </x:c>
    </x:row>
    <x:row r="1136">
      <x:c r="A1136" t="n">
        <x:v>2024</x:v>
      </x:c>
      <x:c r="B1136" t="str">
        <x:v>2024-04</x:v>
      </x:c>
      <x:c r="C1136" t="str">
        <x:v>Coffee</x:v>
      </x:c>
      <x:c r="D1136" t="str">
        <x:v>Grocery</x:v>
      </x:c>
      <x:c r="E1136" t="str">
        <x:v>VIC</x:v>
      </x:c>
      <x:c r="F1136" s="11" t="n">
        <x:v>51536.93</x:v>
      </x:c>
      <x:c r="G1136" s="13" t="n">
        <x:v>11180</x:v>
      </x:c>
      <x:c r="H1136" s="11" t="n">
        <x:v>17931.58</x:v>
      </x:c>
      <x:c r="I1136" s="11" t="n">
        <x:v>68542.64</x:v>
      </x:c>
    </x:row>
    <x:row r="1137">
      <x:c r="A1137" t="n">
        <x:v>2024</x:v>
      </x:c>
      <x:c r="B1137" t="str">
        <x:v>2024-04</x:v>
      </x:c>
      <x:c r="C1137" t="str">
        <x:v>Coffee</x:v>
      </x:c>
      <x:c r="D1137" t="str">
        <x:v>Hospitality</x:v>
      </x:c>
      <x:c r="E1137" t="str">
        <x:v>NSW</x:v>
      </x:c>
      <x:c r="F1137" s="11" t="n">
        <x:v>6773.7300000000005</x:v>
      </x:c>
      <x:c r="G1137" s="13" t="n">
        <x:v>1618</x:v>
      </x:c>
      <x:c r="H1137" s="11" t="n">
        <x:v>1965.75</x:v>
      </x:c>
      <x:c r="I1137" s="11" t="n">
        <x:v>9226.9</x:v>
      </x:c>
    </x:row>
    <x:row r="1138">
      <x:c r="A1138" t="n">
        <x:v>2024</x:v>
      </x:c>
      <x:c r="B1138" t="str">
        <x:v>2024-04</x:v>
      </x:c>
      <x:c r="C1138" t="str">
        <x:v>Coffee</x:v>
      </x:c>
      <x:c r="D1138" t="str">
        <x:v>Hospitality</x:v>
      </x:c>
      <x:c r="E1138" t="str">
        <x:v>QLD</x:v>
      </x:c>
      <x:c r="F1138" s="11" t="n">
        <x:v>6556.33</x:v>
      </x:c>
      <x:c r="G1138" s="13" t="n">
        <x:v>1549</x:v>
      </x:c>
      <x:c r="H1138" s="11" t="n">
        <x:v>1906.49</x:v>
      </x:c>
      <x:c r="I1138" s="11" t="n">
        <x:v>8875.87</x:v>
      </x:c>
    </x:row>
    <x:row r="1139">
      <x:c r="A1139" t="n">
        <x:v>2024</x:v>
      </x:c>
      <x:c r="B1139" t="str">
        <x:v>2024-04</x:v>
      </x:c>
      <x:c r="C1139" t="str">
        <x:v>Coffee</x:v>
      </x:c>
      <x:c r="D1139" t="str">
        <x:v>Hospitality</x:v>
      </x:c>
      <x:c r="E1139" t="str">
        <x:v>VIC</x:v>
      </x:c>
      <x:c r="F1139" s="11" t="n">
        <x:v>6581.92</x:v>
      </x:c>
      <x:c r="G1139" s="13" t="n">
        <x:v>1546</x:v>
      </x:c>
      <x:c r="H1139" s="11" t="n">
        <x:v>1967.26</x:v>
      </x:c>
      <x:c r="I1139" s="11" t="n">
        <x:v>8591.78</x:v>
      </x:c>
    </x:row>
    <x:row r="1140">
      <x:c r="A1140" t="n">
        <x:v>2024</x:v>
      </x:c>
      <x:c r="B1140" t="str">
        <x:v>2024-04</x:v>
      </x:c>
      <x:c r="C1140" t="str">
        <x:v>Coffee</x:v>
      </x:c>
      <x:c r="D1140" t="str">
        <x:v>Independent retail</x:v>
      </x:c>
      <x:c r="E1140" t="str">
        <x:v>NSW</x:v>
      </x:c>
      <x:c r="F1140" s="11" t="n">
        <x:v>17888.9</x:v>
      </x:c>
      <x:c r="G1140" s="13" t="n">
        <x:v>3866</x:v>
      </x:c>
      <x:c r="H1140" s="11" t="n">
        <x:v>6257.87</x:v>
      </x:c>
      <x:c r="I1140" s="11" t="n">
        <x:v>24967.48</x:v>
      </x:c>
    </x:row>
    <x:row r="1141">
      <x:c r="A1141" t="n">
        <x:v>2024</x:v>
      </x:c>
      <x:c r="B1141" t="str">
        <x:v>2024-04</x:v>
      </x:c>
      <x:c r="C1141" t="str">
        <x:v>Coffee</x:v>
      </x:c>
      <x:c r="D1141" t="str">
        <x:v>Independent retail</x:v>
      </x:c>
      <x:c r="E1141" t="str">
        <x:v>QLD</x:v>
      </x:c>
      <x:c r="F1141" s="11" t="n">
        <x:v>17897.92</x:v>
      </x:c>
      <x:c r="G1141" s="13" t="n">
        <x:v>3986</x:v>
      </x:c>
      <x:c r="H1141" s="11" t="n">
        <x:v>5910.3</x:v>
      </x:c>
      <x:c r="I1141" s="11" t="n">
        <x:v>24018.12</x:v>
      </x:c>
    </x:row>
    <x:row r="1142">
      <x:c r="A1142" t="n">
        <x:v>2024</x:v>
      </x:c>
      <x:c r="B1142" t="str">
        <x:v>2024-04</x:v>
      </x:c>
      <x:c r="C1142" t="str">
        <x:v>Coffee</x:v>
      </x:c>
      <x:c r="D1142" t="str">
        <x:v>Independent retail</x:v>
      </x:c>
      <x:c r="E1142" t="str">
        <x:v>VIC</x:v>
      </x:c>
      <x:c r="F1142" s="11" t="n">
        <x:v>16681.54</x:v>
      </x:c>
      <x:c r="G1142" s="13" t="n">
        <x:v>3662</x:v>
      </x:c>
      <x:c r="H1142" s="11" t="n">
        <x:v>5594.32</x:v>
      </x:c>
      <x:c r="I1142" s="11" t="n">
        <x:v>23282.46</x:v>
      </x:c>
    </x:row>
    <x:row r="1143">
      <x:c r="A1143" t="n">
        <x:v>2024</x:v>
      </x:c>
      <x:c r="B1143" t="str">
        <x:v>2024-04</x:v>
      </x:c>
      <x:c r="C1143" t="str">
        <x:v>Coffee</x:v>
      </x:c>
      <x:c r="D1143" t="str">
        <x:v>Petrol</x:v>
      </x:c>
      <x:c r="E1143" t="str">
        <x:v>NSW</x:v>
      </x:c>
      <x:c r="F1143" s="11" t="n">
        <x:v>19153.85</x:v>
      </x:c>
      <x:c r="G1143" s="13" t="n">
        <x:v>3950</x:v>
      </x:c>
      <x:c r="H1143" s="11" t="n">
        <x:v>7309.52</x:v>
      </x:c>
      <x:c r="I1143" s="11" t="n">
        <x:v>26912.64</x:v>
      </x:c>
    </x:row>
    <x:row r="1144">
      <x:c r="A1144" t="n">
        <x:v>2024</x:v>
      </x:c>
      <x:c r="B1144" t="str">
        <x:v>2024-04</x:v>
      </x:c>
      <x:c r="C1144" t="str">
        <x:v>Coffee</x:v>
      </x:c>
      <x:c r="D1144" t="str">
        <x:v>Petrol</x:v>
      </x:c>
      <x:c r="E1144" t="str">
        <x:v>QLD</x:v>
      </x:c>
      <x:c r="F1144" s="11" t="n">
        <x:v>19632.87</x:v>
      </x:c>
      <x:c r="G1144" s="13" t="n">
        <x:v>3876</x:v>
      </x:c>
      <x:c r="H1144" s="11" t="n">
        <x:v>7942.55</x:v>
      </x:c>
      <x:c r="I1144" s="11" t="n">
        <x:v>25867.97</x:v>
      </x:c>
    </x:row>
    <x:row r="1145">
      <x:c r="A1145" t="n">
        <x:v>2024</x:v>
      </x:c>
      <x:c r="B1145" t="str">
        <x:v>2024-04</x:v>
      </x:c>
      <x:c r="C1145" t="str">
        <x:v>Coffee</x:v>
      </x:c>
      <x:c r="D1145" t="str">
        <x:v>Petrol</x:v>
      </x:c>
      <x:c r="E1145" t="str">
        <x:v>VIC</x:v>
      </x:c>
      <x:c r="F1145" s="11" t="n">
        <x:v>18824.53</x:v>
      </x:c>
      <x:c r="G1145" s="13" t="n">
        <x:v>3871</x:v>
      </x:c>
      <x:c r="H1145" s="11" t="n">
        <x:v>7239.39</x:v>
      </x:c>
      <x:c r="I1145" s="11" t="n">
        <x:v>25105.1</x:v>
      </x:c>
    </x:row>
    <x:row r="1146">
      <x:c r="A1146" t="n">
        <x:v>2024</x:v>
      </x:c>
      <x:c r="B1146" t="str">
        <x:v>2024-04</x:v>
      </x:c>
      <x:c r="C1146" t="str">
        <x:v>Energy</x:v>
      </x:c>
      <x:c r="D1146" t="str">
        <x:v>Convenience</x:v>
      </x:c>
      <x:c r="E1146" t="str">
        <x:v>NSW</x:v>
      </x:c>
      <x:c r="F1146" s="11" t="n">
        <x:v>86798.35</x:v>
      </x:c>
      <x:c r="G1146" s="13" t="n">
        <x:v>16154</x:v>
      </x:c>
      <x:c r="H1146" s="11" t="n">
        <x:v>51322.16</x:v>
      </x:c>
      <x:c r="I1146" s="11" t="n">
        <x:v>119071.9</x:v>
      </x:c>
    </x:row>
    <x:row r="1147">
      <x:c r="A1147" t="n">
        <x:v>2024</x:v>
      </x:c>
      <x:c r="B1147" t="str">
        <x:v>2024-04</x:v>
      </x:c>
      <x:c r="C1147" t="str">
        <x:v>Energy</x:v>
      </x:c>
      <x:c r="D1147" t="str">
        <x:v>Convenience</x:v>
      </x:c>
      <x:c r="E1147" t="str">
        <x:v>QLD</x:v>
      </x:c>
      <x:c r="F1147" s="11" t="n">
        <x:v>81879.41</x:v>
      </x:c>
      <x:c r="G1147" s="13" t="n">
        <x:v>15114</x:v>
      </x:c>
      <x:c r="H1147" s="11" t="n">
        <x:v>49086.28</x:v>
      </x:c>
      <x:c r="I1147" s="11" t="n">
        <x:v>114504.39</x:v>
      </x:c>
    </x:row>
    <x:row r="1148">
      <x:c r="A1148" t="n">
        <x:v>2024</x:v>
      </x:c>
      <x:c r="B1148" t="str">
        <x:v>2024-04</x:v>
      </x:c>
      <x:c r="C1148" t="str">
        <x:v>Energy</x:v>
      </x:c>
      <x:c r="D1148" t="str">
        <x:v>Convenience</x:v>
      </x:c>
      <x:c r="E1148" t="str">
        <x:v>VIC</x:v>
      </x:c>
      <x:c r="F1148" s="11" t="n">
        <x:v>82555.44</x:v>
      </x:c>
      <x:c r="G1148" s="13" t="n">
        <x:v>15131</x:v>
      </x:c>
      <x:c r="H1148" s="11" t="n">
        <x:v>48885.36</x:v>
      </x:c>
      <x:c r="I1148" s="11" t="n">
        <x:v>111077.54</x:v>
      </x:c>
    </x:row>
    <x:row r="1149">
      <x:c r="A1149" t="n">
        <x:v>2024</x:v>
      </x:c>
      <x:c r="B1149" t="str">
        <x:v>2024-04</x:v>
      </x:c>
      <x:c r="C1149" t="str">
        <x:v>Energy</x:v>
      </x:c>
      <x:c r="D1149" t="str">
        <x:v>Grocery</x:v>
      </x:c>
      <x:c r="E1149" t="str">
        <x:v>NSW</x:v>
      </x:c>
      <x:c r="F1149" s="11" t="n">
        <x:v>330613.28</x:v>
      </x:c>
      <x:c r="G1149" s="13" t="n">
        <x:v>68165</x:v>
      </x:c>
      <x:c r="H1149" s="11" t="n">
        <x:v>179601.74</x:v>
      </x:c>
      <x:c r="I1149" s="11" t="n">
        <x:v>296519.64</x:v>
      </x:c>
    </x:row>
    <x:row r="1150">
      <x:c r="A1150" t="n">
        <x:v>2024</x:v>
      </x:c>
      <x:c r="B1150" t="str">
        <x:v>2024-04</x:v>
      </x:c>
      <x:c r="C1150" t="str">
        <x:v>Energy</x:v>
      </x:c>
      <x:c r="D1150" t="str">
        <x:v>Grocery</x:v>
      </x:c>
      <x:c r="E1150" t="str">
        <x:v>QLD</x:v>
      </x:c>
      <x:c r="F1150" s="11" t="n">
        <x:v>326311.14</x:v>
      </x:c>
      <x:c r="G1150" s="13" t="n">
        <x:v>67696</x:v>
      </x:c>
      <x:c r="H1150" s="11" t="n">
        <x:v>173426.87</x:v>
      </x:c>
      <x:c r="I1150" s="11" t="n">
        <x:v>285101.54</x:v>
      </x:c>
    </x:row>
    <x:row r="1151">
      <x:c r="A1151" t="n">
        <x:v>2024</x:v>
      </x:c>
      <x:c r="B1151" t="str">
        <x:v>2024-04</x:v>
      </x:c>
      <x:c r="C1151" t="str">
        <x:v>Energy</x:v>
      </x:c>
      <x:c r="D1151" t="str">
        <x:v>Grocery</x:v>
      </x:c>
      <x:c r="E1151" t="str">
        <x:v>VIC</x:v>
      </x:c>
      <x:c r="F1151" s="11" t="n">
        <x:v>317156.17</x:v>
      </x:c>
      <x:c r="G1151" s="13" t="n">
        <x:v>65241</x:v>
      </x:c>
      <x:c r="H1151" s="11" t="n">
        <x:v>169446.06</x:v>
      </x:c>
      <x:c r="I1151" s="11" t="n">
        <x:v>276556.27</x:v>
      </x:c>
    </x:row>
    <x:row r="1152">
      <x:c r="A1152" t="n">
        <x:v>2024</x:v>
      </x:c>
      <x:c r="B1152" t="str">
        <x:v>2024-04</x:v>
      </x:c>
      <x:c r="C1152" t="str">
        <x:v>Energy</x:v>
      </x:c>
      <x:c r="D1152" t="str">
        <x:v>Hospitality</x:v>
      </x:c>
      <x:c r="E1152" t="str">
        <x:v>NSW</x:v>
      </x:c>
      <x:c r="F1152" s="11" t="n">
        <x:v>42032.57</x:v>
      </x:c>
      <x:c r="G1152" s="13" t="n">
        <x:v>9407</x:v>
      </x:c>
      <x:c r="H1152" s="11" t="n">
        <x:v>20821.34</x:v>
      </x:c>
      <x:c r="I1152" s="11" t="n">
        <x:v>37146.08</x:v>
      </x:c>
    </x:row>
    <x:row r="1153">
      <x:c r="A1153" t="n">
        <x:v>2024</x:v>
      </x:c>
      <x:c r="B1153" t="str">
        <x:v>2024-04</x:v>
      </x:c>
      <x:c r="C1153" t="str">
        <x:v>Energy</x:v>
      </x:c>
      <x:c r="D1153" t="str">
        <x:v>Hospitality</x:v>
      </x:c>
      <x:c r="E1153" t="str">
        <x:v>QLD</x:v>
      </x:c>
      <x:c r="F1153" s="11" t="n">
        <x:v>41114.1</x:v>
      </x:c>
      <x:c r="G1153" s="13" t="n">
        <x:v>9360</x:v>
      </x:c>
      <x:c r="H1153" s="11" t="n">
        <x:v>19988.76</x:v>
      </x:c>
      <x:c r="I1153" s="11" t="n">
        <x:v>35716.91</x:v>
      </x:c>
    </x:row>
    <x:row r="1154">
      <x:c r="A1154" t="n">
        <x:v>2024</x:v>
      </x:c>
      <x:c r="B1154" t="str">
        <x:v>2024-04</x:v>
      </x:c>
      <x:c r="C1154" t="str">
        <x:v>Energy</x:v>
      </x:c>
      <x:c r="D1154" t="str">
        <x:v>Hospitality</x:v>
      </x:c>
      <x:c r="E1154" t="str">
        <x:v>VIC</x:v>
      </x:c>
      <x:c r="F1154" s="11" t="n">
        <x:v>40787.62</x:v>
      </x:c>
      <x:c r="G1154" s="13" t="n">
        <x:v>9169</x:v>
      </x:c>
      <x:c r="H1154" s="11" t="n">
        <x:v>19965.48</x:v>
      </x:c>
      <x:c r="I1154" s="11" t="n">
        <x:v>34612.53</x:v>
      </x:c>
    </x:row>
    <x:row r="1155">
      <x:c r="A1155" t="n">
        <x:v>2024</x:v>
      </x:c>
      <x:c r="B1155" t="str">
        <x:v>2024-04</x:v>
      </x:c>
      <x:c r="C1155" t="str">
        <x:v>Energy</x:v>
      </x:c>
      <x:c r="D1155" t="str">
        <x:v>Independent retail</x:v>
      </x:c>
      <x:c r="E1155" t="str">
        <x:v>NSW</x:v>
      </x:c>
      <x:c r="F1155" s="11" t="n">
        <x:v>112238.79</x:v>
      </x:c>
      <x:c r="G1155" s="13" t="n">
        <x:v>23305</x:v>
      </x:c>
      <x:c r="H1155" s="11" t="n">
        <x:v>60506.08</x:v>
      </x:c>
      <x:c r="I1155" s="11" t="n">
        <x:v>100772.7</x:v>
      </x:c>
    </x:row>
    <x:row r="1156">
      <x:c r="A1156" t="n">
        <x:v>2024</x:v>
      </x:c>
      <x:c r="B1156" t="str">
        <x:v>2024-04</x:v>
      </x:c>
      <x:c r="C1156" t="str">
        <x:v>Energy</x:v>
      </x:c>
      <x:c r="D1156" t="str">
        <x:v>Independent retail</x:v>
      </x:c>
      <x:c r="E1156" t="str">
        <x:v>QLD</x:v>
      </x:c>
      <x:c r="F1156" s="11" t="n">
        <x:v>107324.74</x:v>
      </x:c>
      <x:c r="G1156" s="13" t="n">
        <x:v>21840</x:v>
      </x:c>
      <x:c r="H1156" s="11" t="n">
        <x:v>59439.94</x:v>
      </x:c>
      <x:c r="I1156" s="11" t="n">
        <x:v>96886.24</x:v>
      </x:c>
    </x:row>
    <x:row r="1157">
      <x:c r="A1157" t="n">
        <x:v>2024</x:v>
      </x:c>
      <x:c r="B1157" t="str">
        <x:v>2024-04</x:v>
      </x:c>
      <x:c r="C1157" t="str">
        <x:v>Energy</x:v>
      </x:c>
      <x:c r="D1157" t="str">
        <x:v>Independent retail</x:v>
      </x:c>
      <x:c r="E1157" t="str">
        <x:v>VIC</x:v>
      </x:c>
      <x:c r="F1157" s="11" t="n">
        <x:v>105632.25</x:v>
      </x:c>
      <x:c r="G1157" s="13" t="n">
        <x:v>21696</x:v>
      </x:c>
      <x:c r="H1157" s="11" t="n">
        <x:v>57970.1</x:v>
      </x:c>
      <x:c r="I1157" s="11" t="n">
        <x:v>93987.31</x:v>
      </x:c>
    </x:row>
    <x:row r="1158">
      <x:c r="A1158" t="n">
        <x:v>2024</x:v>
      </x:c>
      <x:c r="B1158" t="str">
        <x:v>2024-04</x:v>
      </x:c>
      <x:c r="C1158" t="str">
        <x:v>Energy</x:v>
      </x:c>
      <x:c r="D1158" t="str">
        <x:v>Petrol</x:v>
      </x:c>
      <x:c r="E1158" t="str">
        <x:v>NSW</x:v>
      </x:c>
      <x:c r="F1158" s="11" t="n">
        <x:v>120472.17</x:v>
      </x:c>
      <x:c r="G1158" s="13" t="n">
        <x:v>22543</x:v>
      </x:c>
      <x:c r="H1158" s="11" t="n">
        <x:v>71113.55</x:v>
      </x:c>
      <x:c r="I1158" s="11" t="n">
        <x:v>108665.03</x:v>
      </x:c>
    </x:row>
    <x:row r="1159">
      <x:c r="A1159" t="n">
        <x:v>2024</x:v>
      </x:c>
      <x:c r="B1159" t="str">
        <x:v>2024-04</x:v>
      </x:c>
      <x:c r="C1159" t="str">
        <x:v>Energy</x:v>
      </x:c>
      <x:c r="D1159" t="str">
        <x:v>Petrol</x:v>
      </x:c>
      <x:c r="E1159" t="str">
        <x:v>QLD</x:v>
      </x:c>
      <x:c r="F1159" s="11" t="n">
        <x:v>117808.02</x:v>
      </x:c>
      <x:c r="G1159" s="13" t="n">
        <x:v>21499</x:v>
      </x:c>
      <x:c r="H1159" s="11" t="n">
        <x:v>69767.38</x:v>
      </x:c>
      <x:c r="I1159" s="11" t="n">
        <x:v>104468.93000000001</x:v>
      </x:c>
    </x:row>
    <x:row r="1160">
      <x:c r="A1160" t="n">
        <x:v>2024</x:v>
      </x:c>
      <x:c r="B1160" t="str">
        <x:v>2024-04</x:v>
      </x:c>
      <x:c r="C1160" t="str">
        <x:v>Energy</x:v>
      </x:c>
      <x:c r="D1160" t="str">
        <x:v>Petrol</x:v>
      </x:c>
      <x:c r="E1160" t="str">
        <x:v>VIC</x:v>
      </x:c>
      <x:c r="F1160" s="11" t="n">
        <x:v>114103.95</x:v>
      </x:c>
      <x:c r="G1160" s="13" t="n">
        <x:v>21304</x:v>
      </x:c>
      <x:c r="H1160" s="11" t="n">
        <x:v>67442.59</x:v>
      </x:c>
      <x:c r="I1160" s="11" t="n">
        <x:v>101327.02</x:v>
      </x:c>
    </x:row>
    <x:row r="1161">
      <x:c r="A1161" t="n">
        <x:v>2024</x:v>
      </x:c>
      <x:c r="B1161" t="str">
        <x:v>2024-04</x:v>
      </x:c>
      <x:c r="C1161" t="str">
        <x:v>Sparkling</x:v>
      </x:c>
      <x:c r="D1161" t="str">
        <x:v>Convenience</x:v>
      </x:c>
      <x:c r="E1161" t="str">
        <x:v>NSW</x:v>
      </x:c>
      <x:c r="F1161" s="11" t="n">
        <x:v>132497.09</x:v>
      </x:c>
      <x:c r="G1161" s="13" t="n">
        <x:v>32035</x:v>
      </x:c>
      <x:c r="H1161" s="11" t="n">
        <x:v>71942.6</x:v>
      </x:c>
      <x:c r="I1161" s="11" t="n">
        <x:v>132526.43</x:v>
      </x:c>
    </x:row>
    <x:row r="1162">
      <x:c r="A1162" t="n">
        <x:v>2024</x:v>
      </x:c>
      <x:c r="B1162" t="str">
        <x:v>2024-04</x:v>
      </x:c>
      <x:c r="C1162" t="str">
        <x:v>Sparkling</x:v>
      </x:c>
      <x:c r="D1162" t="str">
        <x:v>Convenience</x:v>
      </x:c>
      <x:c r="E1162" t="str">
        <x:v>QLD</x:v>
      </x:c>
      <x:c r="F1162" s="11" t="n">
        <x:v>123983.6</x:v>
      </x:c>
      <x:c r="G1162" s="13" t="n">
        <x:v>29899</x:v>
      </x:c>
      <x:c r="H1162" s="11" t="n">
        <x:v>68359.92</x:v>
      </x:c>
      <x:c r="I1162" s="11" t="n">
        <x:v>127431.1</x:v>
      </x:c>
    </x:row>
    <x:row r="1163">
      <x:c r="A1163" t="n">
        <x:v>2024</x:v>
      </x:c>
      <x:c r="B1163" t="str">
        <x:v>2024-04</x:v>
      </x:c>
      <x:c r="C1163" t="str">
        <x:v>Sparkling</x:v>
      </x:c>
      <x:c r="D1163" t="str">
        <x:v>Convenience</x:v>
      </x:c>
      <x:c r="E1163" t="str">
        <x:v>VIC</x:v>
      </x:c>
      <x:c r="F1163" s="11" t="n">
        <x:v>119379.59</x:v>
      </x:c>
      <x:c r="G1163" s="13" t="n">
        <x:v>28440</x:v>
      </x:c>
      <x:c r="H1163" s="11" t="n">
        <x:v>65733.84</x:v>
      </x:c>
      <x:c r="I1163" s="11" t="n">
        <x:v>123609.8</x:v>
      </x:c>
    </x:row>
    <x:row r="1164">
      <x:c r="A1164" t="n">
        <x:v>2024</x:v>
      </x:c>
      <x:c r="B1164" t="str">
        <x:v>2024-04</x:v>
      </x:c>
      <x:c r="C1164" t="str">
        <x:v>Sparkling</x:v>
      </x:c>
      <x:c r="D1164" t="str">
        <x:v>Grocery</x:v>
      </x:c>
      <x:c r="E1164" t="str">
        <x:v>NSW</x:v>
      </x:c>
      <x:c r="F1164" s="11" t="n">
        <x:v>328670.61</x:v>
      </x:c>
      <x:c r="G1164" s="13" t="n">
        <x:v>91730</x:v>
      </x:c>
      <x:c r="H1164" s="11" t="n">
        <x:v>153308.03</x:v>
      </x:c>
      <x:c r="I1164" s="11" t="n">
        <x:v>329486.26</x:v>
      </x:c>
    </x:row>
    <x:row r="1165">
      <x:c r="A1165" t="n">
        <x:v>2024</x:v>
      </x:c>
      <x:c r="B1165" t="str">
        <x:v>2024-04</x:v>
      </x:c>
      <x:c r="C1165" t="str">
        <x:v>Sparkling</x:v>
      </x:c>
      <x:c r="D1165" t="str">
        <x:v>Grocery</x:v>
      </x:c>
      <x:c r="E1165" t="str">
        <x:v>QLD</x:v>
      </x:c>
      <x:c r="F1165" s="11" t="n">
        <x:v>307707.25</x:v>
      </x:c>
      <x:c r="G1165" s="13" t="n">
        <x:v>87789</x:v>
      </x:c>
      <x:c r="H1165" s="11" t="n">
        <x:v>142248.34</x:v>
      </x:c>
      <x:c r="I1165" s="11" t="n">
        <x:v>316814.34</x:v>
      </x:c>
    </x:row>
    <x:row r="1166">
      <x:c r="A1166" t="n">
        <x:v>2024</x:v>
      </x:c>
      <x:c r="B1166" t="str">
        <x:v>2024-04</x:v>
      </x:c>
      <x:c r="C1166" t="str">
        <x:v>Sparkling</x:v>
      </x:c>
      <x:c r="D1166" t="str">
        <x:v>Grocery</x:v>
      </x:c>
      <x:c r="E1166" t="str">
        <x:v>VIC</x:v>
      </x:c>
      <x:c r="F1166" s="11" t="n">
        <x:v>300348.54</x:v>
      </x:c>
      <x:c r="G1166" s="13" t="n">
        <x:v>85189</x:v>
      </x:c>
      <x:c r="H1166" s="11" t="n">
        <x:v>139653.98</x:v>
      </x:c>
      <x:c r="I1166" s="11" t="n">
        <x:v>307299.02</x:v>
      </x:c>
    </x:row>
    <x:row r="1167">
      <x:c r="A1167" t="n">
        <x:v>2024</x:v>
      </x:c>
      <x:c r="B1167" t="str">
        <x:v>2024-04</x:v>
      </x:c>
      <x:c r="C1167" t="str">
        <x:v>Sparkling</x:v>
      </x:c>
      <x:c r="D1167" t="str">
        <x:v>Hospitality</x:v>
      </x:c>
      <x:c r="E1167" t="str">
        <x:v>NSW</x:v>
      </x:c>
      <x:c r="F1167" s="11" t="n">
        <x:v>40801.86</x:v>
      </x:c>
      <x:c r="G1167" s="13" t="n">
        <x:v>12597</x:v>
      </x:c>
      <x:c r="H1167" s="11" t="n">
        <x:v>17104.67</x:v>
      </x:c>
      <x:c r="I1167" s="11" t="n">
        <x:v>41217.98</x:v>
      </x:c>
    </x:row>
    <x:row r="1168">
      <x:c r="A1168" t="n">
        <x:v>2024</x:v>
      </x:c>
      <x:c r="B1168" t="str">
        <x:v>2024-04</x:v>
      </x:c>
      <x:c r="C1168" t="str">
        <x:v>Sparkling</x:v>
      </x:c>
      <x:c r="D1168" t="str">
        <x:v>Hospitality</x:v>
      </x:c>
      <x:c r="E1168" t="str">
        <x:v>QLD</x:v>
      </x:c>
      <x:c r="F1168" s="11" t="n">
        <x:v>40226.89</x:v>
      </x:c>
      <x:c r="G1168" s="13" t="n">
        <x:v>12355</x:v>
      </x:c>
      <x:c r="H1168" s="11" t="n">
        <x:v>16998.57</x:v>
      </x:c>
      <x:c r="I1168" s="11" t="n">
        <x:v>39630.68</x:v>
      </x:c>
    </x:row>
    <x:row r="1169">
      <x:c r="A1169" t="n">
        <x:v>2024</x:v>
      </x:c>
      <x:c r="B1169" t="str">
        <x:v>2024-04</x:v>
      </x:c>
      <x:c r="C1169" t="str">
        <x:v>Sparkling</x:v>
      </x:c>
      <x:c r="D1169" t="str">
        <x:v>Hospitality</x:v>
      </x:c>
      <x:c r="E1169" t="str">
        <x:v>VIC</x:v>
      </x:c>
      <x:c r="F1169" s="11" t="n">
        <x:v>38723.44</x:v>
      </x:c>
      <x:c r="G1169" s="13" t="n">
        <x:v>11946</x:v>
      </x:c>
      <x:c r="H1169" s="11" t="n">
        <x:v>16119.13</x:v>
      </x:c>
      <x:c r="I1169" s="11" t="n">
        <x:v>38461.06</x:v>
      </x:c>
    </x:row>
    <x:row r="1170">
      <x:c r="A1170" t="n">
        <x:v>2024</x:v>
      </x:c>
      <x:c r="B1170" t="str">
        <x:v>2024-04</x:v>
      </x:c>
      <x:c r="C1170" t="str">
        <x:v>Sparkling</x:v>
      </x:c>
      <x:c r="D1170" t="str">
        <x:v>Independent retail</x:v>
      </x:c>
      <x:c r="E1170" t="str">
        <x:v>NSW</x:v>
      </x:c>
      <x:c r="F1170" s="11" t="n">
        <x:v>110461.78</x:v>
      </x:c>
      <x:c r="G1170" s="13" t="n">
        <x:v>30054</x:v>
      </x:c>
      <x:c r="H1170" s="11" t="n">
        <x:v>54331.61</x:v>
      </x:c>
      <x:c r="I1170" s="11" t="n">
        <x:v>112122.43</x:v>
      </x:c>
    </x:row>
    <x:row r="1171">
      <x:c r="A1171" t="n">
        <x:v>2024</x:v>
      </x:c>
      <x:c r="B1171" t="str">
        <x:v>2024-04</x:v>
      </x:c>
      <x:c r="C1171" t="str">
        <x:v>Sparkling</x:v>
      </x:c>
      <x:c r="D1171" t="str">
        <x:v>Independent retail</x:v>
      </x:c>
      <x:c r="E1171" t="str">
        <x:v>QLD</x:v>
      </x:c>
      <x:c r="F1171" s="11" t="n">
        <x:v>107377.93000000001</x:v>
      </x:c>
      <x:c r="G1171" s="13" t="n">
        <x:v>28353</x:v>
      </x:c>
      <x:c r="H1171" s="11" t="n">
        <x:v>53412.4</x:v>
      </x:c>
      <x:c r="I1171" s="11" t="n">
        <x:v>107814.34</x:v>
      </x:c>
    </x:row>
    <x:row r="1172">
      <x:c r="A1172" t="n">
        <x:v>2024</x:v>
      </x:c>
      <x:c r="B1172" t="str">
        <x:v>2024-04</x:v>
      </x:c>
      <x:c r="C1172" t="str">
        <x:v>Sparkling</x:v>
      </x:c>
      <x:c r="D1172" t="str">
        <x:v>Independent retail</x:v>
      </x:c>
      <x:c r="E1172" t="str">
        <x:v>VIC</x:v>
      </x:c>
      <x:c r="F1172" s="11" t="n">
        <x:v>102203.01</x:v>
      </x:c>
      <x:c r="G1172" s="13" t="n">
        <x:v>27500</x:v>
      </x:c>
      <x:c r="H1172" s="11" t="n">
        <x:v>50592.17</x:v>
      </x:c>
      <x:c r="I1172" s="11" t="n">
        <x:v>104584.53</x:v>
      </x:c>
    </x:row>
    <x:row r="1173">
      <x:c r="A1173" t="n">
        <x:v>2024</x:v>
      </x:c>
      <x:c r="B1173" t="str">
        <x:v>2024-04</x:v>
      </x:c>
      <x:c r="C1173" t="str">
        <x:v>Sparkling</x:v>
      </x:c>
      <x:c r="D1173" t="str">
        <x:v>Petrol</x:v>
      </x:c>
      <x:c r="E1173" t="str">
        <x:v>NSW</x:v>
      </x:c>
      <x:c r="F1173" s="11" t="n">
        <x:v>119292.13</x:v>
      </x:c>
      <x:c r="G1173" s="13" t="n">
        <x:v>29514</x:v>
      </x:c>
      <x:c r="H1173" s="11" t="n">
        <x:v>63945.87</x:v>
      </x:c>
      <x:c r="I1173" s="11" t="n">
        <x:v>120845.54</x:v>
      </x:c>
    </x:row>
    <x:row r="1174">
      <x:c r="A1174" t="n">
        <x:v>2024</x:v>
      </x:c>
      <x:c r="B1174" t="str">
        <x:v>2024-04</x:v>
      </x:c>
      <x:c r="C1174" t="str">
        <x:v>Sparkling</x:v>
      </x:c>
      <x:c r="D1174" t="str">
        <x:v>Petrol</x:v>
      </x:c>
      <x:c r="E1174" t="str">
        <x:v>QLD</x:v>
      </x:c>
      <x:c r="F1174" s="11" t="n">
        <x:v>116399.78</x:v>
      </x:c>
      <x:c r="G1174" s="13" t="n">
        <x:v>29400</x:v>
      </x:c>
      <x:c r="H1174" s="11" t="n">
        <x:v>60830.92</x:v>
      </x:c>
      <x:c r="I1174" s="11" t="n">
        <x:v>116179.97</x:v>
      </x:c>
    </x:row>
    <x:row r="1175">
      <x:c r="A1175" t="n">
        <x:v>2024</x:v>
      </x:c>
      <x:c r="B1175" t="str">
        <x:v>2024-04</x:v>
      </x:c>
      <x:c r="C1175" t="str">
        <x:v>Sparkling</x:v>
      </x:c>
      <x:c r="D1175" t="str">
        <x:v>Petrol</x:v>
      </x:c>
      <x:c r="E1175" t="str">
        <x:v>VIC</x:v>
      </x:c>
      <x:c r="F1175" s="11" t="n">
        <x:v>109341.67</x:v>
      </x:c>
      <x:c r="G1175" s="13" t="n">
        <x:v>27152</x:v>
      </x:c>
      <x:c r="H1175" s="11" t="n">
        <x:v>57953.44</x:v>
      </x:c>
      <x:c r="I1175" s="11" t="n">
        <x:v>112688.29</x:v>
      </x:c>
    </x:row>
    <x:row r="1176">
      <x:c r="A1176" t="n">
        <x:v>2024</x:v>
      </x:c>
      <x:c r="B1176" t="str">
        <x:v>2024-04</x:v>
      </x:c>
      <x:c r="C1176" t="str">
        <x:v>Sports</x:v>
      </x:c>
      <x:c r="D1176" t="str">
        <x:v>Convenience</x:v>
      </x:c>
      <x:c r="E1176" t="str">
        <x:v>NSW</x:v>
      </x:c>
      <x:c r="F1176" s="11" t="n">
        <x:v>79429.29</x:v>
      </x:c>
      <x:c r="G1176" s="13" t="n">
        <x:v>15984</x:v>
      </x:c>
      <x:c r="H1176" s="11" t="n">
        <x:v>41237.89</x:v>
      </x:c>
      <x:c r="I1176" s="11" t="n">
        <x:v>73164.35</x:v>
      </x:c>
    </x:row>
    <x:row r="1177">
      <x:c r="A1177" t="n">
        <x:v>2024</x:v>
      </x:c>
      <x:c r="B1177" t="str">
        <x:v>2024-04</x:v>
      </x:c>
      <x:c r="C1177" t="str">
        <x:v>Sports</x:v>
      </x:c>
      <x:c r="D1177" t="str">
        <x:v>Convenience</x:v>
      </x:c>
      <x:c r="E1177" t="str">
        <x:v>QLD</x:v>
      </x:c>
      <x:c r="F1177" s="11" t="n">
        <x:v>74115.97</x:v>
      </x:c>
      <x:c r="G1177" s="13" t="n">
        <x:v>14035</x:v>
      </x:c>
      <x:c r="H1177" s="11" t="n">
        <x:v>40139.9</x:v>
      </x:c>
      <x:c r="I1177" s="11" t="n">
        <x:v>70340.48</x:v>
      </x:c>
    </x:row>
    <x:row r="1178">
      <x:c r="A1178" t="n">
        <x:v>2024</x:v>
      </x:c>
      <x:c r="B1178" t="str">
        <x:v>2024-04</x:v>
      </x:c>
      <x:c r="C1178" t="str">
        <x:v>Sports</x:v>
      </x:c>
      <x:c r="D1178" t="str">
        <x:v>Convenience</x:v>
      </x:c>
      <x:c r="E1178" t="str">
        <x:v>VIC</x:v>
      </x:c>
      <x:c r="F1178" s="11" t="n">
        <x:v>69406.6</x:v>
      </x:c>
      <x:c r="G1178" s="13" t="n">
        <x:v>13640</x:v>
      </x:c>
      <x:c r="H1178" s="11" t="n">
        <x:v>36905.76</x:v>
      </x:c>
      <x:c r="I1178" s="11" t="n">
        <x:v>68232.5</x:v>
      </x:c>
    </x:row>
    <x:row r="1179">
      <x:c r="A1179" t="n">
        <x:v>2024</x:v>
      </x:c>
      <x:c r="B1179" t="str">
        <x:v>2024-04</x:v>
      </x:c>
      <x:c r="C1179" t="str">
        <x:v>Sports</x:v>
      </x:c>
      <x:c r="D1179" t="str">
        <x:v>Grocery</x:v>
      </x:c>
      <x:c r="E1179" t="str">
        <x:v>NSW</x:v>
      </x:c>
      <x:c r="F1179" s="11" t="n">
        <x:v>194395.43</x:v>
      </x:c>
      <x:c r="G1179" s="13" t="n">
        <x:v>44361</x:v>
      </x:c>
      <x:c r="H1179" s="11" t="n">
        <x:v>86667.26</x:v>
      </x:c>
      <x:c r="I1179" s="11" t="n">
        <x:v>181620.51</x:v>
      </x:c>
    </x:row>
    <x:row r="1180">
      <x:c r="A1180" t="n">
        <x:v>2024</x:v>
      </x:c>
      <x:c r="B1180" t="str">
        <x:v>2024-04</x:v>
      </x:c>
      <x:c r="C1180" t="str">
        <x:v>Sports</x:v>
      </x:c>
      <x:c r="D1180" t="str">
        <x:v>Grocery</x:v>
      </x:c>
      <x:c r="E1180" t="str">
        <x:v>QLD</x:v>
      </x:c>
      <x:c r="F1180" s="11" t="n">
        <x:v>185774.68</x:v>
      </x:c>
      <x:c r="G1180" s="13" t="n">
        <x:v>43620</x:v>
      </x:c>
      <x:c r="H1180" s="11" t="n">
        <x:v>80756.54</x:v>
      </x:c>
      <x:c r="I1180" s="11" t="n">
        <x:v>174644.35</x:v>
      </x:c>
    </x:row>
    <x:row r="1181">
      <x:c r="A1181" t="n">
        <x:v>2024</x:v>
      </x:c>
      <x:c r="B1181" t="str">
        <x:v>2024-04</x:v>
      </x:c>
      <x:c r="C1181" t="str">
        <x:v>Sports</x:v>
      </x:c>
      <x:c r="D1181" t="str">
        <x:v>Grocery</x:v>
      </x:c>
      <x:c r="E1181" t="str">
        <x:v>VIC</x:v>
      </x:c>
      <x:c r="F1181" s="11" t="n">
        <x:v>181309.49</x:v>
      </x:c>
      <x:c r="G1181" s="13" t="n">
        <x:v>42308</x:v>
      </x:c>
      <x:c r="H1181" s="11" t="n">
        <x:v>78918.59</x:v>
      </x:c>
      <x:c r="I1181" s="11" t="n">
        <x:v>169393.39</x:v>
      </x:c>
    </x:row>
    <x:row r="1182">
      <x:c r="A1182" t="n">
        <x:v>2024</x:v>
      </x:c>
      <x:c r="B1182" t="str">
        <x:v>2024-04</x:v>
      </x:c>
      <x:c r="C1182" t="str">
        <x:v>Sports</x:v>
      </x:c>
      <x:c r="D1182" t="str">
        <x:v>Hospitality</x:v>
      </x:c>
      <x:c r="E1182" t="str">
        <x:v>NSW</x:v>
      </x:c>
      <x:c r="F1182" s="11" t="n">
        <x:v>24490.55</x:v>
      </x:c>
      <x:c r="G1182" s="13" t="n">
        <x:v>6157</x:v>
      </x:c>
      <x:c r="H1182" s="11" t="n">
        <x:v>9515.52</x:v>
      </x:c>
      <x:c r="I1182" s="11" t="n">
        <x:v>22736.42</x:v>
      </x:c>
    </x:row>
    <x:row r="1183">
      <x:c r="A1183" t="n">
        <x:v>2024</x:v>
      </x:c>
      <x:c r="B1183" t="str">
        <x:v>2024-04</x:v>
      </x:c>
      <x:c r="C1183" t="str">
        <x:v>Sports</x:v>
      </x:c>
      <x:c r="D1183" t="str">
        <x:v>Hospitality</x:v>
      </x:c>
      <x:c r="E1183" t="str">
        <x:v>QLD</x:v>
      </x:c>
      <x:c r="F1183" s="11" t="n">
        <x:v>22938.46</x:v>
      </x:c>
      <x:c r="G1183" s="13" t="n">
        <x:v>5880</x:v>
      </x:c>
      <x:c r="H1183" s="11" t="n">
        <x:v>9019.02</x:v>
      </x:c>
      <x:c r="I1183" s="11" t="n">
        <x:v>21866.77</x:v>
      </x:c>
    </x:row>
    <x:row r="1184">
      <x:c r="A1184" t="n">
        <x:v>2024</x:v>
      </x:c>
      <x:c r="B1184" t="str">
        <x:v>2024-04</x:v>
      </x:c>
      <x:c r="C1184" t="str">
        <x:v>Sports</x:v>
      </x:c>
      <x:c r="D1184" t="str">
        <x:v>Hospitality</x:v>
      </x:c>
      <x:c r="E1184" t="str">
        <x:v>VIC</x:v>
      </x:c>
      <x:c r="F1184" s="11" t="n">
        <x:v>22848.11</x:v>
      </x:c>
      <x:c r="G1184" s="13" t="n">
        <x:v>5884</x:v>
      </x:c>
      <x:c r="H1184" s="11" t="n">
        <x:v>8777.18</x:v>
      </x:c>
      <x:c r="I1184" s="11" t="n">
        <x:v>21212.18</x:v>
      </x:c>
    </x:row>
    <x:row r="1185">
      <x:c r="A1185" t="n">
        <x:v>2024</x:v>
      </x:c>
      <x:c r="B1185" t="str">
        <x:v>2024-04</x:v>
      </x:c>
      <x:c r="C1185" t="str">
        <x:v>Sports</x:v>
      </x:c>
      <x:c r="D1185" t="str">
        <x:v>Independent retail</x:v>
      </x:c>
      <x:c r="E1185" t="str">
        <x:v>NSW</x:v>
      </x:c>
      <x:c r="F1185" s="11" t="n">
        <x:v>65429.95</x:v>
      </x:c>
      <x:c r="G1185" s="13" t="n">
        <x:v>14495</x:v>
      </x:c>
      <x:c r="H1185" s="11" t="n">
        <x:v>30913.47</x:v>
      </x:c>
      <x:c r="I1185" s="11" t="n">
        <x:v>61728.48</x:v>
      </x:c>
    </x:row>
    <x:row r="1186">
      <x:c r="A1186" t="n">
        <x:v>2024</x:v>
      </x:c>
      <x:c r="B1186" t="str">
        <x:v>2024-04</x:v>
      </x:c>
      <x:c r="C1186" t="str">
        <x:v>Sports</x:v>
      </x:c>
      <x:c r="D1186" t="str">
        <x:v>Independent retail</x:v>
      </x:c>
      <x:c r="E1186" t="str">
        <x:v>QLD</x:v>
      </x:c>
      <x:c r="F1186" s="11" t="n">
        <x:v>63480.45</x:v>
      </x:c>
      <x:c r="G1186" s="13" t="n">
        <x:v>13562</x:v>
      </x:c>
      <x:c r="H1186" s="11" t="n">
        <x:v>30669.6</x:v>
      </x:c>
      <x:c r="I1186" s="11" t="n">
        <x:v>59360.54</x:v>
      </x:c>
    </x:row>
    <x:row r="1187">
      <x:c r="A1187" t="n">
        <x:v>2024</x:v>
      </x:c>
      <x:c r="B1187" t="str">
        <x:v>2024-04</x:v>
      </x:c>
      <x:c r="C1187" t="str">
        <x:v>Sports</x:v>
      </x:c>
      <x:c r="D1187" t="str">
        <x:v>Independent retail</x:v>
      </x:c>
      <x:c r="E1187" t="str">
        <x:v>VIC</x:v>
      </x:c>
      <x:c r="F1187" s="11" t="n">
        <x:v>61287.75</x:v>
      </x:c>
      <x:c r="G1187" s="13" t="n">
        <x:v>13125</x:v>
      </x:c>
      <x:c r="H1187" s="11" t="n">
        <x:v>29596.39</x:v>
      </x:c>
      <x:c r="I1187" s="11" t="n">
        <x:v>57544.73</x:v>
      </x:c>
    </x:row>
    <x:row r="1188">
      <x:c r="A1188" t="n">
        <x:v>2024</x:v>
      </x:c>
      <x:c r="B1188" t="str">
        <x:v>2024-04</x:v>
      </x:c>
      <x:c r="C1188" t="str">
        <x:v>Sports</x:v>
      </x:c>
      <x:c r="D1188" t="str">
        <x:v>Petrol</x:v>
      </x:c>
      <x:c r="E1188" t="str">
        <x:v>NSW</x:v>
      </x:c>
      <x:c r="F1188" s="11" t="n">
        <x:v>67474.22</x:v>
      </x:c>
      <x:c r="G1188" s="13" t="n">
        <x:v>13339</x:v>
      </x:c>
      <x:c r="H1188" s="11" t="n">
        <x:v>35399.76</x:v>
      </x:c>
      <x:c r="I1188" s="11" t="n">
        <x:v>66938.94</x:v>
      </x:c>
    </x:row>
    <x:row r="1189">
      <x:c r="A1189" t="n">
        <x:v>2024</x:v>
      </x:c>
      <x:c r="B1189" t="str">
        <x:v>2024-04</x:v>
      </x:c>
      <x:c r="C1189" t="str">
        <x:v>Sports</x:v>
      </x:c>
      <x:c r="D1189" t="str">
        <x:v>Petrol</x:v>
      </x:c>
      <x:c r="E1189" t="str">
        <x:v>QLD</x:v>
      </x:c>
      <x:c r="F1189" s="11" t="n">
        <x:v>68255.12</x:v>
      </x:c>
      <x:c r="G1189" s="13" t="n">
        <x:v>13839</x:v>
      </x:c>
      <x:c r="H1189" s="11" t="n">
        <x:v>34484.08</x:v>
      </x:c>
      <x:c r="I1189" s="11" t="n">
        <x:v>64346.14</x:v>
      </x:c>
    </x:row>
    <x:row r="1190">
      <x:c r="A1190" t="n">
        <x:v>2024</x:v>
      </x:c>
      <x:c r="B1190" t="str">
        <x:v>2024-04</x:v>
      </x:c>
      <x:c r="C1190" t="str">
        <x:v>Sports</x:v>
      </x:c>
      <x:c r="D1190" t="str">
        <x:v>Petrol</x:v>
      </x:c>
      <x:c r="E1190" t="str">
        <x:v>VIC</x:v>
      </x:c>
      <x:c r="F1190" s="11" t="n">
        <x:v>66262.62</x:v>
      </x:c>
      <x:c r="G1190" s="13" t="n">
        <x:v>13112</x:v>
      </x:c>
      <x:c r="H1190" s="11" t="n">
        <x:v>34268.21</x:v>
      </x:c>
      <x:c r="I1190" s="11" t="n">
        <x:v>62389.22</x:v>
      </x:c>
    </x:row>
    <x:row r="1191">
      <x:c r="A1191" t="n">
        <x:v>2024</x:v>
      </x:c>
      <x:c r="B1191" t="str">
        <x:v>2024-04</x:v>
      </x:c>
      <x:c r="C1191" t="str">
        <x:v>Water</x:v>
      </x:c>
      <x:c r="D1191" t="str">
        <x:v>Convenience</x:v>
      </x:c>
      <x:c r="E1191" t="str">
        <x:v>NSW</x:v>
      </x:c>
      <x:c r="F1191" s="11" t="n">
        <x:v>86111.79</x:v>
      </x:c>
      <x:c r="G1191" s="13" t="n">
        <x:v>26188</x:v>
      </x:c>
      <x:c r="H1191" s="11" t="n">
        <x:v>42147.63</x:v>
      </x:c>
      <x:c r="I1191" s="11" t="n">
        <x:v>87179.78</x:v>
      </x:c>
    </x:row>
    <x:row r="1192">
      <x:c r="A1192" t="n">
        <x:v>2024</x:v>
      </x:c>
      <x:c r="B1192" t="str">
        <x:v>2024-04</x:v>
      </x:c>
      <x:c r="C1192" t="str">
        <x:v>Water</x:v>
      </x:c>
      <x:c r="D1192" t="str">
        <x:v>Convenience</x:v>
      </x:c>
      <x:c r="E1192" t="str">
        <x:v>QLD</x:v>
      </x:c>
      <x:c r="F1192" s="11" t="n">
        <x:v>83983.33</x:v>
      </x:c>
      <x:c r="G1192" s="13" t="n">
        <x:v>26677</x:v>
      </x:c>
      <x:c r="H1192" s="11" t="n">
        <x:v>39393.16</x:v>
      </x:c>
      <x:c r="I1192" s="11" t="n">
        <x:v>83824.68</x:v>
      </x:c>
    </x:row>
    <x:row r="1193">
      <x:c r="A1193" t="n">
        <x:v>2024</x:v>
      </x:c>
      <x:c r="B1193" t="str">
        <x:v>2024-04</x:v>
      </x:c>
      <x:c r="C1193" t="str">
        <x:v>Water</x:v>
      </x:c>
      <x:c r="D1193" t="str">
        <x:v>Convenience</x:v>
      </x:c>
      <x:c r="E1193" t="str">
        <x:v>VIC</x:v>
      </x:c>
      <x:c r="F1193" s="11" t="n">
        <x:v>79982.12</x:v>
      </x:c>
      <x:c r="G1193" s="13" t="n">
        <x:v>25182</x:v>
      </x:c>
      <x:c r="H1193" s="11" t="n">
        <x:v>38286.7</x:v>
      </x:c>
      <x:c r="I1193" s="11" t="n">
        <x:v>81300.69</x:v>
      </x:c>
    </x:row>
    <x:row r="1194">
      <x:c r="A1194" t="n">
        <x:v>2024</x:v>
      </x:c>
      <x:c r="B1194" t="str">
        <x:v>2024-04</x:v>
      </x:c>
      <x:c r="C1194" t="str">
        <x:v>Water</x:v>
      </x:c>
      <x:c r="D1194" t="str">
        <x:v>Grocery</x:v>
      </x:c>
      <x:c r="E1194" t="str">
        <x:v>NSW</x:v>
      </x:c>
      <x:c r="F1194" s="11" t="n">
        <x:v>213461.84</x:v>
      </x:c>
      <x:c r="G1194" s="13" t="n">
        <x:v>78057</x:v>
      </x:c>
      <x:c r="H1194" s="11" t="n">
        <x:v>85945.06</x:v>
      </x:c>
      <x:c r="I1194" s="11" t="n">
        <x:v>217299.76</x:v>
      </x:c>
    </x:row>
    <x:row r="1195">
      <x:c r="A1195" t="n">
        <x:v>2024</x:v>
      </x:c>
      <x:c r="B1195" t="str">
        <x:v>2024-04</x:v>
      </x:c>
      <x:c r="C1195" t="str">
        <x:v>Water</x:v>
      </x:c>
      <x:c r="D1195" t="str">
        <x:v>Grocery</x:v>
      </x:c>
      <x:c r="E1195" t="str">
        <x:v>QLD</x:v>
      </x:c>
      <x:c r="F1195" s="11" t="n">
        <x:v>206143.72</x:v>
      </x:c>
      <x:c r="G1195" s="13" t="n">
        <x:v>72515</x:v>
      </x:c>
      <x:c r="H1195" s="11" t="n">
        <x:v>85912.57</x:v>
      </x:c>
      <x:c r="I1195" s="11" t="n">
        <x:v>208941.45</x:v>
      </x:c>
    </x:row>
    <x:row r="1196">
      <x:c r="A1196" t="n">
        <x:v>2024</x:v>
      </x:c>
      <x:c r="B1196" t="str">
        <x:v>2024-04</x:v>
      </x:c>
      <x:c r="C1196" t="str">
        <x:v>Water</x:v>
      </x:c>
      <x:c r="D1196" t="str">
        <x:v>Grocery</x:v>
      </x:c>
      <x:c r="E1196" t="str">
        <x:v>VIC</x:v>
      </x:c>
      <x:c r="F1196" s="11" t="n">
        <x:v>202436.01</x:v>
      </x:c>
      <x:c r="G1196" s="13" t="n">
        <x:v>71772</x:v>
      </x:c>
      <x:c r="H1196" s="11" t="n">
        <x:v>83924.16</x:v>
      </x:c>
      <x:c r="I1196" s="11" t="n">
        <x:v>202678.86</x:v>
      </x:c>
    </x:row>
    <x:row r="1197">
      <x:c r="A1197" t="n">
        <x:v>2024</x:v>
      </x:c>
      <x:c r="B1197" t="str">
        <x:v>2024-04</x:v>
      </x:c>
      <x:c r="C1197" t="str">
        <x:v>Water</x:v>
      </x:c>
      <x:c r="D1197" t="str">
        <x:v>Hospitality</x:v>
      </x:c>
      <x:c r="E1197" t="str">
        <x:v>NSW</x:v>
      </x:c>
      <x:c r="F1197" s="11" t="n">
        <x:v>27138.75</x:v>
      </x:c>
      <x:c r="G1197" s="13" t="n">
        <x:v>10567</x:v>
      </x:c>
      <x:c r="H1197" s="11" t="n">
        <x:v>9863.96</x:v>
      </x:c>
      <x:c r="I1197" s="11" t="n">
        <x:v>27199.96</x:v>
      </x:c>
    </x:row>
    <x:row r="1198">
      <x:c r="A1198" t="n">
        <x:v>2024</x:v>
      </x:c>
      <x:c r="B1198" t="str">
        <x:v>2024-04</x:v>
      </x:c>
      <x:c r="C1198" t="str">
        <x:v>Water</x:v>
      </x:c>
      <x:c r="D1198" t="str">
        <x:v>Hospitality</x:v>
      </x:c>
      <x:c r="E1198" t="str">
        <x:v>QLD</x:v>
      </x:c>
      <x:c r="F1198" s="11" t="n">
        <x:v>25893.65</x:v>
      </x:c>
      <x:c r="G1198" s="13" t="n">
        <x:v>9918</x:v>
      </x:c>
      <x:c r="H1198" s="11" t="n">
        <x:v>9251.23</x:v>
      </x:c>
      <x:c r="I1198" s="11" t="n">
        <x:v>26164.18</x:v>
      </x:c>
    </x:row>
    <x:row r="1199">
      <x:c r="A1199" t="n">
        <x:v>2024</x:v>
      </x:c>
      <x:c r="B1199" t="str">
        <x:v>2024-04</x:v>
      </x:c>
      <x:c r="C1199" t="str">
        <x:v>Water</x:v>
      </x:c>
      <x:c r="D1199" t="str">
        <x:v>Hospitality</x:v>
      </x:c>
      <x:c r="E1199" t="str">
        <x:v>VIC</x:v>
      </x:c>
      <x:c r="F1199" s="11" t="n">
        <x:v>25097.46</x:v>
      </x:c>
      <x:c r="G1199" s="13" t="n">
        <x:v>9516</x:v>
      </x:c>
      <x:c r="H1199" s="11" t="n">
        <x:v>9225.09</x:v>
      </x:c>
      <x:c r="I1199" s="11" t="n">
        <x:v>25378.22</x:v>
      </x:c>
    </x:row>
    <x:row r="1200">
      <x:c r="A1200" t="n">
        <x:v>2024</x:v>
      </x:c>
      <x:c r="B1200" t="str">
        <x:v>2024-04</x:v>
      </x:c>
      <x:c r="C1200" t="str">
        <x:v>Water</x:v>
      </x:c>
      <x:c r="D1200" t="str">
        <x:v>Independent retail</x:v>
      </x:c>
      <x:c r="E1200" t="str">
        <x:v>NSW</x:v>
      </x:c>
      <x:c r="F1200" s="11" t="n">
        <x:v>74401.74</x:v>
      </x:c>
      <x:c r="G1200" s="13" t="n">
        <x:v>25815</x:v>
      </x:c>
      <x:c r="H1200" s="11" t="n">
        <x:v>30856.54</x:v>
      </x:c>
      <x:c r="I1200" s="11" t="n">
        <x:v>73967.56</x:v>
      </x:c>
    </x:row>
    <x:row r="1201">
      <x:c r="A1201" t="n">
        <x:v>2024</x:v>
      </x:c>
      <x:c r="B1201" t="str">
        <x:v>2024-04</x:v>
      </x:c>
      <x:c r="C1201" t="str">
        <x:v>Water</x:v>
      </x:c>
      <x:c r="D1201" t="str">
        <x:v>Independent retail</x:v>
      </x:c>
      <x:c r="E1201" t="str">
        <x:v>QLD</x:v>
      </x:c>
      <x:c r="F1201" s="11" t="n">
        <x:v>70115.28</x:v>
      </x:c>
      <x:c r="G1201" s="13" t="n">
        <x:v>25189</x:v>
      </x:c>
      <x:c r="H1201" s="11" t="n">
        <x:v>28244.36</x:v>
      </x:c>
      <x:c r="I1201" s="11" t="n">
        <x:v>71131.95999999999</x:v>
      </x:c>
    </x:row>
    <x:row r="1202">
      <x:c r="A1202" t="n">
        <x:v>2024</x:v>
      </x:c>
      <x:c r="B1202" t="str">
        <x:v>2024-04</x:v>
      </x:c>
      <x:c r="C1202" t="str">
        <x:v>Water</x:v>
      </x:c>
      <x:c r="D1202" t="str">
        <x:v>Independent retail</x:v>
      </x:c>
      <x:c r="E1202" t="str">
        <x:v>VIC</x:v>
      </x:c>
      <x:c r="F1202" s="11" t="n">
        <x:v>69406.36</x:v>
      </x:c>
      <x:c r="G1202" s="13" t="n">
        <x:v>24993</x:v>
      </x:c>
      <x:c r="H1202" s="11" t="n">
        <x:v>28027.83</x:v>
      </x:c>
      <x:c r="I1202" s="11" t="n">
        <x:v>68995.23</x:v>
      </x:c>
    </x:row>
    <x:row r="1203">
      <x:c r="A1203" t="n">
        <x:v>2024</x:v>
      </x:c>
      <x:c r="B1203" t="str">
        <x:v>2024-04</x:v>
      </x:c>
      <x:c r="C1203" t="str">
        <x:v>Water</x:v>
      </x:c>
      <x:c r="D1203" t="str">
        <x:v>Petrol</x:v>
      </x:c>
      <x:c r="E1203" t="str">
        <x:v>NSW</x:v>
      </x:c>
      <x:c r="F1203" s="11" t="n">
        <x:v>81077.21</x:v>
      </x:c>
      <x:c r="G1203" s="13" t="n">
        <x:v>26529</x:v>
      </x:c>
      <x:c r="H1203" s="11" t="n">
        <x:v>36688.35</x:v>
      </x:c>
      <x:c r="I1203" s="11" t="n">
        <x:v>79549.48</x:v>
      </x:c>
    </x:row>
    <x:row r="1204">
      <x:c r="A1204" t="n">
        <x:v>2024</x:v>
      </x:c>
      <x:c r="B1204" t="str">
        <x:v>2024-04</x:v>
      </x:c>
      <x:c r="C1204" t="str">
        <x:v>Water</x:v>
      </x:c>
      <x:c r="D1204" t="str">
        <x:v>Petrol</x:v>
      </x:c>
      <x:c r="E1204" t="str">
        <x:v>QLD</x:v>
      </x:c>
      <x:c r="F1204" s="11" t="n">
        <x:v>78061.25</x:v>
      </x:c>
      <x:c r="G1204" s="13" t="n">
        <x:v>25241</x:v>
      </x:c>
      <x:c r="H1204" s="11" t="n">
        <x:v>36568.6</x:v>
      </x:c>
      <x:c r="I1204" s="11" t="n">
        <x:v>76488.72</x:v>
      </x:c>
    </x:row>
    <x:row r="1205">
      <x:c r="A1205" t="n">
        <x:v>2024</x:v>
      </x:c>
      <x:c r="B1205" t="str">
        <x:v>2024-04</x:v>
      </x:c>
      <x:c r="C1205" t="str">
        <x:v>Water</x:v>
      </x:c>
      <x:c r="D1205" t="str">
        <x:v>Petrol</x:v>
      </x:c>
      <x:c r="E1205" t="str">
        <x:v>VIC</x:v>
      </x:c>
      <x:c r="F1205" s="11" t="n">
        <x:v>73002.05</x:v>
      </x:c>
      <x:c r="G1205" s="13" t="n">
        <x:v>24382</x:v>
      </x:c>
      <x:c r="H1205" s="11" t="n">
        <x:v>33278.61</x:v>
      </x:c>
      <x:c r="I1205" s="11" t="n">
        <x:v>74191.81</x:v>
      </x:c>
    </x:row>
    <x:row r="1206">
      <x:c r="A1206" t="n">
        <x:v>2024</x:v>
      </x:c>
      <x:c r="B1206" t="str">
        <x:v>2024-05</x:v>
      </x:c>
      <x:c r="C1206" t="str">
        <x:v>Coffee</x:v>
      </x:c>
      <x:c r="D1206" t="str">
        <x:v>Convenience</x:v>
      </x:c>
      <x:c r="E1206" t="str">
        <x:v>NSW</x:v>
      </x:c>
      <x:c r="F1206" s="11" t="n">
        <x:v>20481.31</x:v>
      </x:c>
      <x:c r="G1206" s="13" t="n">
        <x:v>4013</x:v>
      </x:c>
      <x:c r="H1206" s="11" t="n">
        <x:v>8473.85</x:v>
      </x:c>
      <x:c r="I1206" s="11" t="n">
        <x:v>28169.25</x:v>
      </x:c>
    </x:row>
    <x:row r="1207">
      <x:c r="A1207" t="n">
        <x:v>2024</x:v>
      </x:c>
      <x:c r="B1207" t="str">
        <x:v>2024-05</x:v>
      </x:c>
      <x:c r="C1207" t="str">
        <x:v>Coffee</x:v>
      </x:c>
      <x:c r="D1207" t="str">
        <x:v>Convenience</x:v>
      </x:c>
      <x:c r="E1207" t="str">
        <x:v>QLD</x:v>
      </x:c>
      <x:c r="F1207" s="11" t="n">
        <x:v>19619.28</x:v>
      </x:c>
      <x:c r="G1207" s="13" t="n">
        <x:v>3701</x:v>
      </x:c>
      <x:c r="H1207" s="11" t="n">
        <x:v>8617.79</x:v>
      </x:c>
      <x:c r="I1207" s="11" t="n">
        <x:v>27072.37</x:v>
      </x:c>
    </x:row>
    <x:row r="1208">
      <x:c r="A1208" t="n">
        <x:v>2024</x:v>
      </x:c>
      <x:c r="B1208" t="str">
        <x:v>2024-05</x:v>
      </x:c>
      <x:c r="C1208" t="str">
        <x:v>Coffee</x:v>
      </x:c>
      <x:c r="D1208" t="str">
        <x:v>Convenience</x:v>
      </x:c>
      <x:c r="E1208" t="str">
        <x:v>VIC</x:v>
      </x:c>
      <x:c r="F1208" s="11" t="n">
        <x:v>19173.99</x:v>
      </x:c>
      <x:c r="G1208" s="13" t="n">
        <x:v>3678</x:v>
      </x:c>
      <x:c r="H1208" s="11" t="n">
        <x:v>8201.03</x:v>
      </x:c>
      <x:c r="I1208" s="11" t="n">
        <x:v>26261.44</x:v>
      </x:c>
    </x:row>
    <x:row r="1209">
      <x:c r="A1209" t="n">
        <x:v>2024</x:v>
      </x:c>
      <x:c r="B1209" t="str">
        <x:v>2024-05</x:v>
      </x:c>
      <x:c r="C1209" t="str">
        <x:v>Coffee</x:v>
      </x:c>
      <x:c r="D1209" t="str">
        <x:v>Grocery</x:v>
      </x:c>
      <x:c r="E1209" t="str">
        <x:v>NSW</x:v>
      </x:c>
      <x:c r="F1209" s="11" t="n">
        <x:v>51293.92</x:v>
      </x:c>
      <x:c r="G1209" s="13" t="n">
        <x:v>11580</x:v>
      </x:c>
      <x:c r="H1209" s="11" t="n">
        <x:v>16568.62</x:v>
      </x:c>
      <x:c r="I1209" s="11" t="n">
        <x:v>69898.12</x:v>
      </x:c>
    </x:row>
    <x:row r="1210">
      <x:c r="A1210" t="n">
        <x:v>2024</x:v>
      </x:c>
      <x:c r="B1210" t="str">
        <x:v>2024-05</x:v>
      </x:c>
      <x:c r="C1210" t="str">
        <x:v>Coffee</x:v>
      </x:c>
      <x:c r="D1210" t="str">
        <x:v>Grocery</x:v>
      </x:c>
      <x:c r="E1210" t="str">
        <x:v>QLD</x:v>
      </x:c>
      <x:c r="F1210" s="11" t="n">
        <x:v>48341.63</x:v>
      </x:c>
      <x:c r="G1210" s="13" t="n">
        <x:v>11107</x:v>
      </x:c>
      <x:c r="H1210" s="11" t="n">
        <x:v>15027.43</x:v>
      </x:c>
      <x:c r="I1210" s="11" t="n">
        <x:v>67198</x:v>
      </x:c>
    </x:row>
    <x:row r="1211">
      <x:c r="A1211" t="n">
        <x:v>2024</x:v>
      </x:c>
      <x:c r="B1211" t="str">
        <x:v>2024-05</x:v>
      </x:c>
      <x:c r="C1211" t="str">
        <x:v>Coffee</x:v>
      </x:c>
      <x:c r="D1211" t="str">
        <x:v>Grocery</x:v>
      </x:c>
      <x:c r="E1211" t="str">
        <x:v>VIC</x:v>
      </x:c>
      <x:c r="F1211" s="11" t="n">
        <x:v>48296.01</x:v>
      </x:c>
      <x:c r="G1211" s="13" t="n">
        <x:v>10980</x:v>
      </x:c>
      <x:c r="H1211" s="11" t="n">
        <x:v>15073.19</x:v>
      </x:c>
      <x:c r="I1211" s="11" t="n">
        <x:v>65196.74</x:v>
      </x:c>
    </x:row>
    <x:row r="1212">
      <x:c r="A1212" t="n">
        <x:v>2024</x:v>
      </x:c>
      <x:c r="B1212" t="str">
        <x:v>2024-05</x:v>
      </x:c>
      <x:c r="C1212" t="str">
        <x:v>Coffee</x:v>
      </x:c>
      <x:c r="D1212" t="str">
        <x:v>Hospitality</x:v>
      </x:c>
      <x:c r="E1212" t="str">
        <x:v>NSW</x:v>
      </x:c>
      <x:c r="F1212" s="11" t="n">
        <x:v>6553.31</x:v>
      </x:c>
      <x:c r="G1212" s="13" t="n">
        <x:v>1641</x:v>
      </x:c>
      <x:c r="H1212" s="11" t="n">
        <x:v>1647.27</x:v>
      </x:c>
      <x:c r="I1212" s="11" t="n">
        <x:v>8776.94</x:v>
      </x:c>
    </x:row>
    <x:row r="1213">
      <x:c r="A1213" t="n">
        <x:v>2024</x:v>
      </x:c>
      <x:c r="B1213" t="str">
        <x:v>2024-05</x:v>
      </x:c>
      <x:c r="C1213" t="str">
        <x:v>Coffee</x:v>
      </x:c>
      <x:c r="D1213" t="str">
        <x:v>Hospitality</x:v>
      </x:c>
      <x:c r="E1213" t="str">
        <x:v>QLD</x:v>
      </x:c>
      <x:c r="F1213" s="11" t="n">
        <x:v>6267.34</x:v>
      </x:c>
      <x:c r="G1213" s="13" t="n">
        <x:v>1541</x:v>
      </x:c>
      <x:c r="H1213" s="11" t="n">
        <x:v>1653.03</x:v>
      </x:c>
      <x:c r="I1213" s="11" t="n">
        <x:v>8426.42</x:v>
      </x:c>
    </x:row>
    <x:row r="1214">
      <x:c r="A1214" t="n">
        <x:v>2024</x:v>
      </x:c>
      <x:c r="B1214" t="str">
        <x:v>2024-05</x:v>
      </x:c>
      <x:c r="C1214" t="str">
        <x:v>Coffee</x:v>
      </x:c>
      <x:c r="D1214" t="str">
        <x:v>Hospitality</x:v>
      </x:c>
      <x:c r="E1214" t="str">
        <x:v>VIC</x:v>
      </x:c>
      <x:c r="F1214" s="11" t="n">
        <x:v>6062.84</x:v>
      </x:c>
      <x:c r="G1214" s="13" t="n">
        <x:v>1507</x:v>
      </x:c>
      <x:c r="H1214" s="11" t="n">
        <x:v>1515.2</x:v>
      </x:c>
      <x:c r="I1214" s="11" t="n">
        <x:v>8192.98</x:v>
      </x:c>
    </x:row>
    <x:row r="1215">
      <x:c r="A1215" t="n">
        <x:v>2024</x:v>
      </x:c>
      <x:c r="B1215" t="str">
        <x:v>2024-05</x:v>
      </x:c>
      <x:c r="C1215" t="str">
        <x:v>Coffee</x:v>
      </x:c>
      <x:c r="D1215" t="str">
        <x:v>Independent retail</x:v>
      </x:c>
      <x:c r="E1215" t="str">
        <x:v>NSW</x:v>
      </x:c>
      <x:c r="F1215" s="11" t="n">
        <x:v>17202.04</x:v>
      </x:c>
      <x:c r="G1215" s="13" t="n">
        <x:v>3725</x:v>
      </x:c>
      <x:c r="H1215" s="11" t="n">
        <x:v>6114.62</x:v>
      </x:c>
      <x:c r="I1215" s="11" t="n">
        <x:v>23743.72</x:v>
      </x:c>
    </x:row>
    <x:row r="1216">
      <x:c r="A1216" t="n">
        <x:v>2024</x:v>
      </x:c>
      <x:c r="B1216" t="str">
        <x:v>2024-05</x:v>
      </x:c>
      <x:c r="C1216" t="str">
        <x:v>Coffee</x:v>
      </x:c>
      <x:c r="D1216" t="str">
        <x:v>Independent retail</x:v>
      </x:c>
      <x:c r="E1216" t="str">
        <x:v>QLD</x:v>
      </x:c>
      <x:c r="F1216" s="11" t="n">
        <x:v>16771.02</x:v>
      </x:c>
      <x:c r="G1216" s="13" t="n">
        <x:v>3511</x:v>
      </x:c>
      <x:c r="H1216" s="11" t="n">
        <x:v>6259.67</x:v>
      </x:c>
      <x:c r="I1216" s="11" t="n">
        <x:v>22829.64</x:v>
      </x:c>
    </x:row>
    <x:row r="1217">
      <x:c r="A1217" t="n">
        <x:v>2024</x:v>
      </x:c>
      <x:c r="B1217" t="str">
        <x:v>2024-05</x:v>
      </x:c>
      <x:c r="C1217" t="str">
        <x:v>Coffee</x:v>
      </x:c>
      <x:c r="D1217" t="str">
        <x:v>Independent retail</x:v>
      </x:c>
      <x:c r="E1217" t="str">
        <x:v>VIC</x:v>
      </x:c>
      <x:c r="F1217" s="11" t="n">
        <x:v>16868.37</x:v>
      </x:c>
      <x:c r="G1217" s="13" t="n">
        <x:v>3543</x:v>
      </x:c>
      <x:c r="H1217" s="11" t="n">
        <x:v>6218.44</x:v>
      </x:c>
      <x:c r="I1217" s="11" t="n">
        <x:v>22147.04</x:v>
      </x:c>
    </x:row>
    <x:row r="1218">
      <x:c r="A1218" t="n">
        <x:v>2024</x:v>
      </x:c>
      <x:c r="B1218" t="str">
        <x:v>2024-05</x:v>
      </x:c>
      <x:c r="C1218" t="str">
        <x:v>Coffee</x:v>
      </x:c>
      <x:c r="D1218" t="str">
        <x:v>Petrol</x:v>
      </x:c>
      <x:c r="E1218" t="str">
        <x:v>NSW</x:v>
      </x:c>
      <x:c r="F1218" s="11" t="n">
        <x:v>19165.04</x:v>
      </x:c>
      <x:c r="G1218" s="13" t="n">
        <x:v>3683</x:v>
      </x:c>
      <x:c r="H1218" s="11" t="n">
        <x:v>8128.62</x:v>
      </x:c>
      <x:c r="I1218" s="11" t="n">
        <x:v>25600.76</x:v>
      </x:c>
    </x:row>
    <x:row r="1219">
      <x:c r="A1219" t="n">
        <x:v>2024</x:v>
      </x:c>
      <x:c r="B1219" t="str">
        <x:v>2024-05</x:v>
      </x:c>
      <x:c r="C1219" t="str">
        <x:v>Coffee</x:v>
      </x:c>
      <x:c r="D1219" t="str">
        <x:v>Petrol</x:v>
      </x:c>
      <x:c r="E1219" t="str">
        <x:v>QLD</x:v>
      </x:c>
      <x:c r="F1219" s="11" t="n">
        <x:v>18203.09</x:v>
      </x:c>
      <x:c r="G1219" s="13" t="n">
        <x:v>3648</x:v>
      </x:c>
      <x:c r="H1219" s="11" t="n">
        <x:v>7197.9400000000005</x:v>
      </x:c>
      <x:c r="I1219" s="11" t="n">
        <x:v>24610.34</x:v>
      </x:c>
    </x:row>
    <x:row r="1220">
      <x:c r="A1220" t="n">
        <x:v>2024</x:v>
      </x:c>
      <x:c r="B1220" t="str">
        <x:v>2024-05</x:v>
      </x:c>
      <x:c r="C1220" t="str">
        <x:v>Coffee</x:v>
      </x:c>
      <x:c r="D1220" t="str">
        <x:v>Petrol</x:v>
      </x:c>
      <x:c r="E1220" t="str">
        <x:v>VIC</x:v>
      </x:c>
      <x:c r="F1220" s="11" t="n">
        <x:v>17516.07</x:v>
      </x:c>
      <x:c r="G1220" s="13" t="n">
        <x:v>3416</x:v>
      </x:c>
      <x:c r="H1220" s="11" t="n">
        <x:v>7173.33</x:v>
      </x:c>
      <x:c r="I1220" s="11" t="n">
        <x:v>23880.18</x:v>
      </x:c>
    </x:row>
    <x:row r="1221">
      <x:c r="A1221" t="n">
        <x:v>2024</x:v>
      </x:c>
      <x:c r="B1221" t="str">
        <x:v>2024-05</x:v>
      </x:c>
      <x:c r="C1221" t="str">
        <x:v>Energy</x:v>
      </x:c>
      <x:c r="D1221" t="str">
        <x:v>Convenience</x:v>
      </x:c>
      <x:c r="E1221" t="str">
        <x:v>NSW</x:v>
      </x:c>
      <x:c r="F1221" s="11" t="n">
        <x:v>82383.48</x:v>
      </x:c>
      <x:c r="G1221" s="13" t="n">
        <x:v>15040</x:v>
      </x:c>
      <x:c r="H1221" s="11" t="n">
        <x:v>49974.98</x:v>
      </x:c>
      <x:c r="I1221" s="11" t="n">
        <x:v>116263.14</x:v>
      </x:c>
    </x:row>
    <x:row r="1222">
      <x:c r="A1222" t="n">
        <x:v>2024</x:v>
      </x:c>
      <x:c r="B1222" t="str">
        <x:v>2024-05</x:v>
      </x:c>
      <x:c r="C1222" t="str">
        <x:v>Energy</x:v>
      </x:c>
      <x:c r="D1222" t="str">
        <x:v>Convenience</x:v>
      </x:c>
      <x:c r="E1222" t="str">
        <x:v>QLD</x:v>
      </x:c>
      <x:c r="F1222" s="11" t="n">
        <x:v>80205.82</x:v>
      </x:c>
      <x:c r="G1222" s="13" t="n">
        <x:v>14389</x:v>
      </x:c>
      <x:c r="H1222" s="11" t="n">
        <x:v>48067.62</x:v>
      </x:c>
      <x:c r="I1222" s="11" t="n">
        <x:v>111775.44</x:v>
      </x:c>
    </x:row>
    <x:row r="1223">
      <x:c r="A1223" t="n">
        <x:v>2024</x:v>
      </x:c>
      <x:c r="B1223" t="str">
        <x:v>2024-05</x:v>
      </x:c>
      <x:c r="C1223" t="str">
        <x:v>Energy</x:v>
      </x:c>
      <x:c r="D1223" t="str">
        <x:v>Convenience</x:v>
      </x:c>
      <x:c r="E1223" t="str">
        <x:v>VIC</x:v>
      </x:c>
      <x:c r="F1223" s="11" t="n">
        <x:v>79494.16</x:v>
      </x:c>
      <x:c r="G1223" s="13" t="n">
        <x:v>14078</x:v>
      </x:c>
      <x:c r="H1223" s="11" t="n">
        <x:v>48038.36</x:v>
      </x:c>
      <x:c r="I1223" s="11" t="n">
        <x:v>108406.34</x:v>
      </x:c>
    </x:row>
    <x:row r="1224">
      <x:c r="A1224" t="n">
        <x:v>2024</x:v>
      </x:c>
      <x:c r="B1224" t="str">
        <x:v>2024-05</x:v>
      </x:c>
      <x:c r="C1224" t="str">
        <x:v>Energy</x:v>
      </x:c>
      <x:c r="D1224" t="str">
        <x:v>Grocery</x:v>
      </x:c>
      <x:c r="E1224" t="str">
        <x:v>NSW</x:v>
      </x:c>
      <x:c r="F1224" s="11" t="n">
        <x:v>325964.86</x:v>
      </x:c>
      <x:c r="G1224" s="13" t="n">
        <x:v>67786</x:v>
      </x:c>
      <x:c r="H1224" s="11" t="n">
        <x:v>174034.7</x:v>
      </x:c>
      <x:c r="I1224" s="11" t="n">
        <x:v>289448.07</x:v>
      </x:c>
    </x:row>
    <x:row r="1225">
      <x:c r="A1225" t="n">
        <x:v>2024</x:v>
      </x:c>
      <x:c r="B1225" t="str">
        <x:v>2024-05</x:v>
      </x:c>
      <x:c r="C1225" t="str">
        <x:v>Energy</x:v>
      </x:c>
      <x:c r="D1225" t="str">
        <x:v>Grocery</x:v>
      </x:c>
      <x:c r="E1225" t="str">
        <x:v>QLD</x:v>
      </x:c>
      <x:c r="F1225" s="11" t="n">
        <x:v>312552.7</x:v>
      </x:c>
      <x:c r="G1225" s="13" t="n">
        <x:v>66401</x:v>
      </x:c>
      <x:c r="H1225" s="11" t="n">
        <x:v>169272.44</x:v>
      </x:c>
      <x:c r="I1225" s="11" t="n">
        <x:v>278297.62</x:v>
      </x:c>
    </x:row>
    <x:row r="1226">
      <x:c r="A1226" t="n">
        <x:v>2024</x:v>
      </x:c>
      <x:c r="B1226" t="str">
        <x:v>2024-05</x:v>
      </x:c>
      <x:c r="C1226" t="str">
        <x:v>Energy</x:v>
      </x:c>
      <x:c r="D1226" t="str">
        <x:v>Grocery</x:v>
      </x:c>
      <x:c r="E1226" t="str">
        <x:v>VIC</x:v>
      </x:c>
      <x:c r="F1226" s="11" t="n">
        <x:v>304739.04</x:v>
      </x:c>
      <x:c r="G1226" s="13" t="n">
        <x:v>63884</x:v>
      </x:c>
      <x:c r="H1226" s="11" t="n">
        <x:v>164400.44</x:v>
      </x:c>
      <x:c r="I1226" s="11" t="n">
        <x:v>269955.56</x:v>
      </x:c>
    </x:row>
    <x:row r="1227">
      <x:c r="A1227" t="n">
        <x:v>2024</x:v>
      </x:c>
      <x:c r="B1227" t="str">
        <x:v>2024-05</x:v>
      </x:c>
      <x:c r="C1227" t="str">
        <x:v>Energy</x:v>
      </x:c>
      <x:c r="D1227" t="str">
        <x:v>Hospitality</x:v>
      </x:c>
      <x:c r="E1227" t="str">
        <x:v>NSW</x:v>
      </x:c>
      <x:c r="F1227" s="11" t="n">
        <x:v>41483.74</x:v>
      </x:c>
      <x:c r="G1227" s="13" t="n">
        <x:v>9306</x:v>
      </x:c>
      <x:c r="H1227" s="11" t="n">
        <x:v>20788.66</x:v>
      </x:c>
      <x:c r="I1227" s="11" t="n">
        <x:v>36291.48</x:v>
      </x:c>
    </x:row>
    <x:row r="1228">
      <x:c r="A1228" t="n">
        <x:v>2024</x:v>
      </x:c>
      <x:c r="B1228" t="str">
        <x:v>2024-05</x:v>
      </x:c>
      <x:c r="C1228" t="str">
        <x:v>Energy</x:v>
      </x:c>
      <x:c r="D1228" t="str">
        <x:v>Hospitality</x:v>
      </x:c>
      <x:c r="E1228" t="str">
        <x:v>QLD</x:v>
      </x:c>
      <x:c r="F1228" s="11" t="n">
        <x:v>38476.72</x:v>
      </x:c>
      <x:c r="G1228" s="13" t="n">
        <x:v>8639</x:v>
      </x:c>
      <x:c r="H1228" s="11" t="n">
        <x:v>19472.12</x:v>
      </x:c>
      <x:c r="I1228" s="11" t="n">
        <x:v>34884.409999999996</x:v>
      </x:c>
    </x:row>
    <x:row r="1229">
      <x:c r="A1229" t="n">
        <x:v>2024</x:v>
      </x:c>
      <x:c r="B1229" t="str">
        <x:v>2024-05</x:v>
      </x:c>
      <x:c r="C1229" t="str">
        <x:v>Energy</x:v>
      </x:c>
      <x:c r="D1229" t="str">
        <x:v>Hospitality</x:v>
      </x:c>
      <x:c r="E1229" t="str">
        <x:v>VIC</x:v>
      </x:c>
      <x:c r="F1229" s="11" t="n">
        <x:v>38560.83</x:v>
      </x:c>
      <x:c r="G1229" s="13" t="n">
        <x:v>8764</x:v>
      </x:c>
      <x:c r="H1229" s="11" t="n">
        <x:v>19386.09</x:v>
      </x:c>
      <x:c r="I1229" s="11" t="n">
        <x:v>33837.79</x:v>
      </x:c>
    </x:row>
    <x:row r="1230">
      <x:c r="A1230" t="n">
        <x:v>2024</x:v>
      </x:c>
      <x:c r="B1230" t="str">
        <x:v>2024-05</x:v>
      </x:c>
      <x:c r="C1230" t="str">
        <x:v>Energy</x:v>
      </x:c>
      <x:c r="D1230" t="str">
        <x:v>Independent retail</x:v>
      </x:c>
      <x:c r="E1230" t="str">
        <x:v>NSW</x:v>
      </x:c>
      <x:c r="F1230" s="11" t="n">
        <x:v>110183.79</x:v>
      </x:c>
      <x:c r="G1230" s="13" t="n">
        <x:v>21830</x:v>
      </x:c>
      <x:c r="H1230" s="11" t="n">
        <x:v>60969.21</x:v>
      </x:c>
      <x:c r="I1230" s="11" t="n">
        <x:v>98332.09</x:v>
      </x:c>
    </x:row>
    <x:row r="1231">
      <x:c r="A1231" t="n">
        <x:v>2024</x:v>
      </x:c>
      <x:c r="B1231" t="str">
        <x:v>2024-05</x:v>
      </x:c>
      <x:c r="C1231" t="str">
        <x:v>Energy</x:v>
      </x:c>
      <x:c r="D1231" t="str">
        <x:v>Independent retail</x:v>
      </x:c>
      <x:c r="E1231" t="str">
        <x:v>QLD</x:v>
      </x:c>
      <x:c r="F1231" s="11" t="n">
        <x:v>106891.1</x:v>
      </x:c>
      <x:c r="G1231" s="13" t="n">
        <x:v>21469</x:v>
      </x:c>
      <x:c r="H1231" s="11" t="n">
        <x:v>58394.6</x:v>
      </x:c>
      <x:c r="I1231" s="11" t="n">
        <x:v>94587.99</x:v>
      </x:c>
    </x:row>
    <x:row r="1232">
      <x:c r="A1232" t="n">
        <x:v>2024</x:v>
      </x:c>
      <x:c r="B1232" t="str">
        <x:v>2024-05</x:v>
      </x:c>
      <x:c r="C1232" t="str">
        <x:v>Energy</x:v>
      </x:c>
      <x:c r="D1232" t="str">
        <x:v>Independent retail</x:v>
      </x:c>
      <x:c r="E1232" t="str">
        <x:v>VIC</x:v>
      </x:c>
      <x:c r="F1232" s="11" t="n">
        <x:v>101790.5</x:v>
      </x:c>
      <x:c r="G1232" s="13" t="n">
        <x:v>20590</x:v>
      </x:c>
      <x:c r="H1232" s="11" t="n">
        <x:v>55691.79</x:v>
      </x:c>
      <x:c r="I1232" s="11" t="n">
        <x:v>91748.04000000001</x:v>
      </x:c>
    </x:row>
    <x:row r="1233">
      <x:c r="A1233" t="n">
        <x:v>2024</x:v>
      </x:c>
      <x:c r="B1233" t="str">
        <x:v>2024-05</x:v>
      </x:c>
      <x:c r="C1233" t="str">
        <x:v>Energy</x:v>
      </x:c>
      <x:c r="D1233" t="str">
        <x:v>Petrol</x:v>
      </x:c>
      <x:c r="E1233" t="str">
        <x:v>NSW</x:v>
      </x:c>
      <x:c r="F1233" s="11" t="n">
        <x:v>120322.3</x:v>
      </x:c>
      <x:c r="G1233" s="13" t="n">
        <x:v>22427</x:v>
      </x:c>
      <x:c r="H1233" s="11" t="n">
        <x:v>70008.35</x:v>
      </x:c>
      <x:c r="I1233" s="11" t="n">
        <x:v>106064.12</x:v>
      </x:c>
    </x:row>
    <x:row r="1234">
      <x:c r="A1234" t="n">
        <x:v>2024</x:v>
      </x:c>
      <x:c r="B1234" t="str">
        <x:v>2024-05</x:v>
      </x:c>
      <x:c r="C1234" t="str">
        <x:v>Energy</x:v>
      </x:c>
      <x:c r="D1234" t="str">
        <x:v>Petrol</x:v>
      </x:c>
      <x:c r="E1234" t="str">
        <x:v>QLD</x:v>
      </x:c>
      <x:c r="F1234" s="11" t="n">
        <x:v>117030.49</x:v>
      </x:c>
      <x:c r="G1234" s="13" t="n">
        <x:v>22066</x:v>
      </x:c>
      <x:c r="H1234" s="11" t="n">
        <x:v>67997.51</x:v>
      </x:c>
      <x:c r="I1234" s="11" t="n">
        <x:v>101966.44</x:v>
      </x:c>
    </x:row>
    <x:row r="1235">
      <x:c r="A1235" t="n">
        <x:v>2024</x:v>
      </x:c>
      <x:c r="B1235" t="str">
        <x:v>2024-05</x:v>
      </x:c>
      <x:c r="C1235" t="str">
        <x:v>Energy</x:v>
      </x:c>
      <x:c r="D1235" t="str">
        <x:v>Petrol</x:v>
      </x:c>
      <x:c r="E1235" t="str">
        <x:v>VIC</x:v>
      </x:c>
      <x:c r="F1235" s="11" t="n">
        <x:v>114474.84</x:v>
      </x:c>
      <x:c r="G1235" s="13" t="n">
        <x:v>21599</x:v>
      </x:c>
      <x:c r="H1235" s="11" t="n">
        <x:v>66141.02</x:v>
      </x:c>
      <x:c r="I1235" s="11" t="n">
        <x:v>98927.01</x:v>
      </x:c>
    </x:row>
    <x:row r="1236">
      <x:c r="A1236" t="n">
        <x:v>2024</x:v>
      </x:c>
      <x:c r="B1236" t="str">
        <x:v>2024-05</x:v>
      </x:c>
      <x:c r="C1236" t="str">
        <x:v>Sparkling</x:v>
      </x:c>
      <x:c r="D1236" t="str">
        <x:v>Convenience</x:v>
      </x:c>
      <x:c r="E1236" t="str">
        <x:v>NSW</x:v>
      </x:c>
      <x:c r="F1236" s="11" t="n">
        <x:v>125216.9</x:v>
      </x:c>
      <x:c r="G1236" s="13" t="n">
        <x:v>30406</x:v>
      </x:c>
      <x:c r="H1236" s="11" t="n">
        <x:v>68059.8</x:v>
      </x:c>
      <x:c r="I1236" s="11" t="n">
        <x:v>126043.63</x:v>
      </x:c>
    </x:row>
    <x:row r="1237">
      <x:c r="A1237" t="n">
        <x:v>2024</x:v>
      </x:c>
      <x:c r="B1237" t="str">
        <x:v>2024-05</x:v>
      </x:c>
      <x:c r="C1237" t="str">
        <x:v>Sparkling</x:v>
      </x:c>
      <x:c r="D1237" t="str">
        <x:v>Convenience</x:v>
      </x:c>
      <x:c r="E1237" t="str">
        <x:v>QLD</x:v>
      </x:c>
      <x:c r="F1237" s="11" t="n">
        <x:v>120431.64</x:v>
      </x:c>
      <x:c r="G1237" s="13" t="n">
        <x:v>29337</x:v>
      </x:c>
      <x:c r="H1237" s="11" t="n">
        <x:v>64971.96</x:v>
      </x:c>
      <x:c r="I1237" s="11" t="n">
        <x:v>121199.83</x:v>
      </x:c>
    </x:row>
    <x:row r="1238">
      <x:c r="A1238" t="n">
        <x:v>2024</x:v>
      </x:c>
      <x:c r="B1238" t="str">
        <x:v>2024-05</x:v>
      </x:c>
      <x:c r="C1238" t="str">
        <x:v>Sparkling</x:v>
      </x:c>
      <x:c r="D1238" t="str">
        <x:v>Convenience</x:v>
      </x:c>
      <x:c r="E1238" t="str">
        <x:v>VIC</x:v>
      </x:c>
      <x:c r="F1238" s="11" t="n">
        <x:v>116214.69</x:v>
      </x:c>
      <x:c r="G1238" s="13" t="n">
        <x:v>28313</x:v>
      </x:c>
      <x:c r="H1238" s="11" t="n">
        <x:v>62663.12</x:v>
      </x:c>
      <x:c r="I1238" s="11" t="n">
        <x:v>117533.79</x:v>
      </x:c>
    </x:row>
    <x:row r="1239">
      <x:c r="A1239" t="n">
        <x:v>2024</x:v>
      </x:c>
      <x:c r="B1239" t="str">
        <x:v>2024-05</x:v>
      </x:c>
      <x:c r="C1239" t="str">
        <x:v>Sparkling</x:v>
      </x:c>
      <x:c r="D1239" t="str">
        <x:v>Grocery</x:v>
      </x:c>
      <x:c r="E1239" t="str">
        <x:v>NSW</x:v>
      </x:c>
      <x:c r="F1239" s="11" t="n">
        <x:v>314269.49</x:v>
      </x:c>
      <x:c r="G1239" s="13" t="n">
        <x:v>87535</x:v>
      </x:c>
      <x:c r="H1239" s="11" t="n">
        <x:v>149890.2</x:v>
      </x:c>
      <x:c r="I1239" s="11" t="n">
        <x:v>313361.76</x:v>
      </x:c>
    </x:row>
    <x:row r="1240">
      <x:c r="A1240" t="n">
        <x:v>2024</x:v>
      </x:c>
      <x:c r="B1240" t="str">
        <x:v>2024-05</x:v>
      </x:c>
      <x:c r="C1240" t="str">
        <x:v>Sparkling</x:v>
      </x:c>
      <x:c r="D1240" t="str">
        <x:v>Grocery</x:v>
      </x:c>
      <x:c r="E1240" t="str">
        <x:v>QLD</x:v>
      </x:c>
      <x:c r="F1240" s="11" t="n">
        <x:v>297488.9</x:v>
      </x:c>
      <x:c r="G1240" s="13" t="n">
        <x:v>82053</x:v>
      </x:c>
      <x:c r="H1240" s="11" t="n">
        <x:v>142359.5</x:v>
      </x:c>
      <x:c r="I1240" s="11" t="n">
        <x:v>301263.03</x:v>
      </x:c>
    </x:row>
    <x:row r="1241">
      <x:c r="A1241" t="n">
        <x:v>2024</x:v>
      </x:c>
      <x:c r="B1241" t="str">
        <x:v>2024-05</x:v>
      </x:c>
      <x:c r="C1241" t="str">
        <x:v>Sparkling</x:v>
      </x:c>
      <x:c r="D1241" t="str">
        <x:v>Grocery</x:v>
      </x:c>
      <x:c r="E1241" t="str">
        <x:v>VIC</x:v>
      </x:c>
      <x:c r="F1241" s="11" t="n">
        <x:v>283464.91</x:v>
      </x:c>
      <x:c r="G1241" s="13" t="n">
        <x:v>78312</x:v>
      </x:c>
      <x:c r="H1241" s="11" t="n">
        <x:v>136194.52</x:v>
      </x:c>
      <x:c r="I1241" s="11" t="n">
        <x:v>292248.48</x:v>
      </x:c>
    </x:row>
    <x:row r="1242">
      <x:c r="A1242" t="n">
        <x:v>2024</x:v>
      </x:c>
      <x:c r="B1242" t="str">
        <x:v>2024-05</x:v>
      </x:c>
      <x:c r="C1242" t="str">
        <x:v>Sparkling</x:v>
      </x:c>
      <x:c r="D1242" t="str">
        <x:v>Hospitality</x:v>
      </x:c>
      <x:c r="E1242" t="str">
        <x:v>NSW</x:v>
      </x:c>
      <x:c r="F1242" s="11" t="n">
        <x:v>38843.07</x:v>
      </x:c>
      <x:c r="G1242" s="13" t="n">
        <x:v>11725</x:v>
      </x:c>
      <x:c r="H1242" s="11" t="n">
        <x:v>16915.91</x:v>
      </x:c>
      <x:c r="I1242" s="11" t="n">
        <x:v>39209.23</x:v>
      </x:c>
    </x:row>
    <x:row r="1243">
      <x:c r="A1243" t="n">
        <x:v>2024</x:v>
      </x:c>
      <x:c r="B1243" t="str">
        <x:v>2024-05</x:v>
      </x:c>
      <x:c r="C1243" t="str">
        <x:v>Sparkling</x:v>
      </x:c>
      <x:c r="D1243" t="str">
        <x:v>Hospitality</x:v>
      </x:c>
      <x:c r="E1243" t="str">
        <x:v>QLD</x:v>
      </x:c>
      <x:c r="F1243" s="11" t="n">
        <x:v>37739.58</x:v>
      </x:c>
      <x:c r="G1243" s="13" t="n">
        <x:v>11463</x:v>
      </x:c>
      <x:c r="H1243" s="11" t="n">
        <x:v>15985.34</x:v>
      </x:c>
      <x:c r="I1243" s="11" t="n">
        <x:v>37691.07</x:v>
      </x:c>
    </x:row>
    <x:row r="1244">
      <x:c r="A1244" t="n">
        <x:v>2024</x:v>
      </x:c>
      <x:c r="B1244" t="str">
        <x:v>2024-05</x:v>
      </x:c>
      <x:c r="C1244" t="str">
        <x:v>Sparkling</x:v>
      </x:c>
      <x:c r="D1244" t="str">
        <x:v>Hospitality</x:v>
      </x:c>
      <x:c r="E1244" t="str">
        <x:v>VIC</x:v>
      </x:c>
      <x:c r="F1244" s="11" t="n">
        <x:v>37225.65</x:v>
      </x:c>
      <x:c r="G1244" s="13" t="n">
        <x:v>11103</x:v>
      </x:c>
      <x:c r="H1244" s="11" t="n">
        <x:v>16165.36</x:v>
      </x:c>
      <x:c r="I1244" s="11" t="n">
        <x:v>36566.71</x:v>
      </x:c>
    </x:row>
    <x:row r="1245">
      <x:c r="A1245" t="n">
        <x:v>2024</x:v>
      </x:c>
      <x:c r="B1245" t="str">
        <x:v>2024-05</x:v>
      </x:c>
      <x:c r="C1245" t="str">
        <x:v>Sparkling</x:v>
      </x:c>
      <x:c r="D1245" t="str">
        <x:v>Independent retail</x:v>
      </x:c>
      <x:c r="E1245" t="str">
        <x:v>NSW</x:v>
      </x:c>
      <x:c r="F1245" s="11" t="n">
        <x:v>103901.91</x:v>
      </x:c>
      <x:c r="G1245" s="13" t="n">
        <x:v>28240</x:v>
      </x:c>
      <x:c r="H1245" s="11" t="n">
        <x:v>50161.27</x:v>
      </x:c>
      <x:c r="I1245" s="11" t="n">
        <x:v>106631.98</x:v>
      </x:c>
    </x:row>
    <x:row r="1246">
      <x:c r="A1246" t="n">
        <x:v>2024</x:v>
      </x:c>
      <x:c r="B1246" t="str">
        <x:v>2024-05</x:v>
      </x:c>
      <x:c r="C1246" t="str">
        <x:v>Sparkling</x:v>
      </x:c>
      <x:c r="D1246" t="str">
        <x:v>Independent retail</x:v>
      </x:c>
      <x:c r="E1246" t="str">
        <x:v>QLD</x:v>
      </x:c>
      <x:c r="F1246" s="11" t="n">
        <x:v>100736.15</x:v>
      </x:c>
      <x:c r="G1246" s="13" t="n">
        <x:v>27549</x:v>
      </x:c>
      <x:c r="H1246" s="11" t="n">
        <x:v>48628.29</x:v>
      </x:c>
      <x:c r="I1246" s="11" t="n">
        <x:v>102543.63</x:v>
      </x:c>
    </x:row>
    <x:row r="1247">
      <x:c r="A1247" t="n">
        <x:v>2024</x:v>
      </x:c>
      <x:c r="B1247" t="str">
        <x:v>2024-05</x:v>
      </x:c>
      <x:c r="C1247" t="str">
        <x:v>Sparkling</x:v>
      </x:c>
      <x:c r="D1247" t="str">
        <x:v>Independent retail</x:v>
      </x:c>
      <x:c r="E1247" t="str">
        <x:v>VIC</x:v>
      </x:c>
      <x:c r="F1247" s="11" t="n">
        <x:v>99025.8</x:v>
      </x:c>
      <x:c r="G1247" s="13" t="n">
        <x:v>26846</x:v>
      </x:c>
      <x:c r="H1247" s="11" t="n">
        <x:v>47753.32</x:v>
      </x:c>
      <x:c r="I1247" s="11" t="n">
        <x:v>99442.99</x:v>
      </x:c>
    </x:row>
    <x:row r="1248">
      <x:c r="A1248" t="n">
        <x:v>2024</x:v>
      </x:c>
      <x:c r="B1248" t="str">
        <x:v>2024-05</x:v>
      </x:c>
      <x:c r="C1248" t="str">
        <x:v>Sparkling</x:v>
      </x:c>
      <x:c r="D1248" t="str">
        <x:v>Petrol</x:v>
      </x:c>
      <x:c r="E1248" t="str">
        <x:v>NSW</x:v>
      </x:c>
      <x:c r="F1248" s="11" t="n">
        <x:v>114325.28</x:v>
      </x:c>
      <x:c r="G1248" s="13" t="n">
        <x:v>28679</x:v>
      </x:c>
      <x:c r="H1248" s="11" t="n">
        <x:v>59854.32</x:v>
      </x:c>
      <x:c r="I1248" s="11" t="n">
        <x:v>114932.81</x:v>
      </x:c>
    </x:row>
    <x:row r="1249">
      <x:c r="A1249" t="n">
        <x:v>2024</x:v>
      </x:c>
      <x:c r="B1249" t="str">
        <x:v>2024-05</x:v>
      </x:c>
      <x:c r="C1249" t="str">
        <x:v>Sparkling</x:v>
      </x:c>
      <x:c r="D1249" t="str">
        <x:v>Petrol</x:v>
      </x:c>
      <x:c r="E1249" t="str">
        <x:v>QLD</x:v>
      </x:c>
      <x:c r="F1249" s="11" t="n">
        <x:v>108609.83</x:v>
      </x:c>
      <x:c r="G1249" s="13" t="n">
        <x:v>27288</x:v>
      </x:c>
      <x:c r="H1249" s="11" t="n">
        <x:v>57883.81</x:v>
      </x:c>
      <x:c r="I1249" s="11" t="n">
        <x:v>110493.49</x:v>
      </x:c>
    </x:row>
    <x:row r="1250">
      <x:c r="A1250" t="n">
        <x:v>2024</x:v>
      </x:c>
      <x:c r="B1250" t="str">
        <x:v>2024-05</x:v>
      </x:c>
      <x:c r="C1250" t="str">
        <x:v>Sparkling</x:v>
      </x:c>
      <x:c r="D1250" t="str">
        <x:v>Petrol</x:v>
      </x:c>
      <x:c r="E1250" t="str">
        <x:v>VIC</x:v>
      </x:c>
      <x:c r="F1250" s="11" t="n">
        <x:v>104506.97</x:v>
      </x:c>
      <x:c r="G1250" s="13" t="n">
        <x:v>25966</x:v>
      </x:c>
      <x:c r="H1250" s="11" t="n">
        <x:v>55364.89</x:v>
      </x:c>
      <x:c r="I1250" s="11" t="n">
        <x:v>107170.01</x:v>
      </x:c>
    </x:row>
    <x:row r="1251">
      <x:c r="A1251" t="n">
        <x:v>2024</x:v>
      </x:c>
      <x:c r="B1251" t="str">
        <x:v>2024-05</x:v>
      </x:c>
      <x:c r="C1251" t="str">
        <x:v>Sports</x:v>
      </x:c>
      <x:c r="D1251" t="str">
        <x:v>Convenience</x:v>
      </x:c>
      <x:c r="E1251" t="str">
        <x:v>NSW</x:v>
      </x:c>
      <x:c r="F1251" s="11" t="n">
        <x:v>72453.92</x:v>
      </x:c>
      <x:c r="G1251" s="13" t="n">
        <x:v>14004</x:v>
      </x:c>
      <x:c r="H1251" s="11" t="n">
        <x:v>38323.36</x:v>
      </x:c>
      <x:c r="I1251" s="11" t="n">
        <x:v>69578.51</x:v>
      </x:c>
    </x:row>
    <x:row r="1252">
      <x:c r="A1252" t="n">
        <x:v>2024</x:v>
      </x:c>
      <x:c r="B1252" t="str">
        <x:v>2024-05</x:v>
      </x:c>
      <x:c r="C1252" t="str">
        <x:v>Sports</x:v>
      </x:c>
      <x:c r="D1252" t="str">
        <x:v>Convenience</x:v>
      </x:c>
      <x:c r="E1252" t="str">
        <x:v>QLD</x:v>
      </x:c>
      <x:c r="F1252" s="11" t="n">
        <x:v>70687.59</x:v>
      </x:c>
      <x:c r="G1252" s="13" t="n">
        <x:v>14208</x:v>
      </x:c>
      <x:c r="H1252" s="11" t="n">
        <x:v>36362.24</x:v>
      </x:c>
      <x:c r="I1252" s="11" t="n">
        <x:v>66887.94</x:v>
      </x:c>
    </x:row>
    <x:row r="1253">
      <x:c r="A1253" t="n">
        <x:v>2024</x:v>
      </x:c>
      <x:c r="B1253" t="str">
        <x:v>2024-05</x:v>
      </x:c>
      <x:c r="C1253" t="str">
        <x:v>Sports</x:v>
      </x:c>
      <x:c r="D1253" t="str">
        <x:v>Convenience</x:v>
      </x:c>
      <x:c r="E1253" t="str">
        <x:v>VIC</x:v>
      </x:c>
      <x:c r="F1253" s="11" t="n">
        <x:v>68332.49</x:v>
      </x:c>
      <x:c r="G1253" s="13" t="n">
        <x:v>13698</x:v>
      </x:c>
      <x:c r="H1253" s="11" t="n">
        <x:v>35323.77</x:v>
      </x:c>
      <x:c r="I1253" s="11" t="n">
        <x:v>64878.82</x:v>
      </x:c>
    </x:row>
    <x:row r="1254">
      <x:c r="A1254" t="n">
        <x:v>2024</x:v>
      </x:c>
      <x:c r="B1254" t="str">
        <x:v>2024-05</x:v>
      </x:c>
      <x:c r="C1254" t="str">
        <x:v>Sports</x:v>
      </x:c>
      <x:c r="D1254" t="str">
        <x:v>Grocery</x:v>
      </x:c>
      <x:c r="E1254" t="str">
        <x:v>NSW</x:v>
      </x:c>
      <x:c r="F1254" s="11" t="n">
        <x:v>180584.79</x:v>
      </x:c>
      <x:c r="G1254" s="13" t="n">
        <x:v>40717</x:v>
      </x:c>
      <x:c r="H1254" s="11" t="n">
        <x:v>83190.02</x:v>
      </x:c>
      <x:c r="I1254" s="11" t="n">
        <x:v>172717.7</x:v>
      </x:c>
    </x:row>
    <x:row r="1255">
      <x:c r="A1255" t="n">
        <x:v>2024</x:v>
      </x:c>
      <x:c r="B1255" t="str">
        <x:v>2024-05</x:v>
      </x:c>
      <x:c r="C1255" t="str">
        <x:v>Sports</x:v>
      </x:c>
      <x:c r="D1255" t="str">
        <x:v>Grocery</x:v>
      </x:c>
      <x:c r="E1255" t="str">
        <x:v>QLD</x:v>
      </x:c>
      <x:c r="F1255" s="11" t="n">
        <x:v>175533.48</x:v>
      </x:c>
      <x:c r="G1255" s="13" t="n">
        <x:v>38561</x:v>
      </x:c>
      <x:c r="H1255" s="11" t="n">
        <x:v>81740.77</x:v>
      </x:c>
      <x:c r="I1255" s="11" t="n">
        <x:v>166071.56</x:v>
      </x:c>
    </x:row>
    <x:row r="1256">
      <x:c r="A1256" t="n">
        <x:v>2024</x:v>
      </x:c>
      <x:c r="B1256" t="str">
        <x:v>2024-05</x:v>
      </x:c>
      <x:c r="C1256" t="str">
        <x:v>Sports</x:v>
      </x:c>
      <x:c r="D1256" t="str">
        <x:v>Grocery</x:v>
      </x:c>
      <x:c r="E1256" t="str">
        <x:v>VIC</x:v>
      </x:c>
      <x:c r="F1256" s="11" t="n">
        <x:v>167869.73</x:v>
      </x:c>
      <x:c r="G1256" s="13" t="n">
        <x:v>37264</x:v>
      </x:c>
      <x:c r="H1256" s="11" t="n">
        <x:v>78573.97</x:v>
      </x:c>
      <x:c r="I1256" s="11" t="n">
        <x:v>161085.08</x:v>
      </x:c>
    </x:row>
    <x:row r="1257">
      <x:c r="A1257" t="n">
        <x:v>2024</x:v>
      </x:c>
      <x:c r="B1257" t="str">
        <x:v>2024-05</x:v>
      </x:c>
      <x:c r="C1257" t="str">
        <x:v>Sports</x:v>
      </x:c>
      <x:c r="D1257" t="str">
        <x:v>Hospitality</x:v>
      </x:c>
      <x:c r="E1257" t="str">
        <x:v>NSW</x:v>
      </x:c>
      <x:c r="F1257" s="11" t="n">
        <x:v>22764.28</x:v>
      </x:c>
      <x:c r="G1257" s="13" t="n">
        <x:v>5448</x:v>
      </x:c>
      <x:c r="H1257" s="11" t="n">
        <x:v>9623.02</x:v>
      </x:c>
      <x:c r="I1257" s="11" t="n">
        <x:v>21614.74</x:v>
      </x:c>
    </x:row>
    <x:row r="1258">
      <x:c r="A1258" t="n">
        <x:v>2024</x:v>
      </x:c>
      <x:c r="B1258" t="str">
        <x:v>2024-05</x:v>
      </x:c>
      <x:c r="C1258" t="str">
        <x:v>Sports</x:v>
      </x:c>
      <x:c r="D1258" t="str">
        <x:v>Hospitality</x:v>
      </x:c>
      <x:c r="E1258" t="str">
        <x:v>QLD</x:v>
      </x:c>
      <x:c r="F1258" s="11" t="n">
        <x:v>22029.57</x:v>
      </x:c>
      <x:c r="G1258" s="13" t="n">
        <x:v>5409</x:v>
      </x:c>
      <x:c r="H1258" s="11" t="n">
        <x:v>8897.55</x:v>
      </x:c>
      <x:c r="I1258" s="11" t="n">
        <x:v>20794.89</x:v>
      </x:c>
    </x:row>
    <x:row r="1259">
      <x:c r="A1259" t="n">
        <x:v>2024</x:v>
      </x:c>
      <x:c r="B1259" t="str">
        <x:v>2024-05</x:v>
      </x:c>
      <x:c r="C1259" t="str">
        <x:v>Sports</x:v>
      </x:c>
      <x:c r="D1259" t="str">
        <x:v>Hospitality</x:v>
      </x:c>
      <x:c r="E1259" t="str">
        <x:v>VIC</x:v>
      </x:c>
      <x:c r="F1259" s="11" t="n">
        <x:v>21390.44</x:v>
      </x:c>
      <x:c r="G1259" s="13" t="n">
        <x:v>5085</x:v>
      </x:c>
      <x:c r="H1259" s="11" t="n">
        <x:v>8953.6</x:v>
      </x:c>
      <x:c r="I1259" s="11" t="n">
        <x:v>20178.81</x:v>
      </x:c>
    </x:row>
    <x:row r="1260">
      <x:c r="A1260" t="n">
        <x:v>2024</x:v>
      </x:c>
      <x:c r="B1260" t="str">
        <x:v>2024-05</x:v>
      </x:c>
      <x:c r="C1260" t="str">
        <x:v>Sports</x:v>
      </x:c>
      <x:c r="D1260" t="str">
        <x:v>Independent retail</x:v>
      </x:c>
      <x:c r="E1260" t="str">
        <x:v>NSW</x:v>
      </x:c>
      <x:c r="F1260" s="11" t="n">
        <x:v>61611.15</x:v>
      </x:c>
      <x:c r="G1260" s="13" t="n">
        <x:v>13868</x:v>
      </x:c>
      <x:c r="H1260" s="11" t="n">
        <x:v>28156.91</x:v>
      </x:c>
      <x:c r="I1260" s="11" t="n">
        <x:v>58711.57</x:v>
      </x:c>
    </x:row>
    <x:row r="1261">
      <x:c r="A1261" t="n">
        <x:v>2024</x:v>
      </x:c>
      <x:c r="B1261" t="str">
        <x:v>2024-05</x:v>
      </x:c>
      <x:c r="C1261" t="str">
        <x:v>Sports</x:v>
      </x:c>
      <x:c r="D1261" t="str">
        <x:v>Independent retail</x:v>
      </x:c>
      <x:c r="E1261" t="str">
        <x:v>QLD</x:v>
      </x:c>
      <x:c r="F1261" s="11" t="n">
        <x:v>59814.78</x:v>
      </x:c>
      <x:c r="G1261" s="13" t="n">
        <x:v>13692</x:v>
      </x:c>
      <x:c r="H1261" s="11" t="n">
        <x:v>27125.5</x:v>
      </x:c>
      <x:c r="I1261" s="11" t="n">
        <x:v>56442</x:v>
      </x:c>
    </x:row>
    <x:row r="1262">
      <x:c r="A1262" t="n">
        <x:v>2024</x:v>
      </x:c>
      <x:c r="B1262" t="str">
        <x:v>2024-05</x:v>
      </x:c>
      <x:c r="C1262" t="str">
        <x:v>Sports</x:v>
      </x:c>
      <x:c r="D1262" t="str">
        <x:v>Independent retail</x:v>
      </x:c>
      <x:c r="E1262" t="str">
        <x:v>VIC</x:v>
      </x:c>
      <x:c r="F1262" s="11" t="n">
        <x:v>58342.35</x:v>
      </x:c>
      <x:c r="G1262" s="13" t="n">
        <x:v>13242</x:v>
      </x:c>
      <x:c r="H1262" s="11" t="n">
        <x:v>26373.59</x:v>
      </x:c>
      <x:c r="I1262" s="11" t="n">
        <x:v>54743.19</x:v>
      </x:c>
    </x:row>
    <x:row r="1263">
      <x:c r="A1263" t="n">
        <x:v>2024</x:v>
      </x:c>
      <x:c r="B1263" t="str">
        <x:v>2024-05</x:v>
      </x:c>
      <x:c r="C1263" t="str">
        <x:v>Sports</x:v>
      </x:c>
      <x:c r="D1263" t="str">
        <x:v>Petrol</x:v>
      </x:c>
      <x:c r="E1263" t="str">
        <x:v>NSW</x:v>
      </x:c>
      <x:c r="F1263" s="11" t="n">
        <x:v>65659.12</x:v>
      </x:c>
      <x:c r="G1263" s="13" t="n">
        <x:v>13712</x:v>
      </x:c>
      <x:c r="H1263" s="11" t="n">
        <x:v>32732.93</x:v>
      </x:c>
      <x:c r="I1263" s="11" t="n">
        <x:v>63652.05</x:v>
      </x:c>
    </x:row>
    <x:row r="1264">
      <x:c r="A1264" t="n">
        <x:v>2024</x:v>
      </x:c>
      <x:c r="B1264" t="str">
        <x:v>2024-05</x:v>
      </x:c>
      <x:c r="C1264" t="str">
        <x:v>Sports</x:v>
      </x:c>
      <x:c r="D1264" t="str">
        <x:v>Petrol</x:v>
      </x:c>
      <x:c r="E1264" t="str">
        <x:v>QLD</x:v>
      </x:c>
      <x:c r="F1264" s="11" t="n">
        <x:v>63818.27</x:v>
      </x:c>
      <x:c r="G1264" s="13" t="n">
        <x:v>12792</x:v>
      </x:c>
      <x:c r="H1264" s="11" t="n">
        <x:v>33135.38</x:v>
      </x:c>
      <x:c r="I1264" s="11" t="n">
        <x:v>61196.17</x:v>
      </x:c>
    </x:row>
    <x:row r="1265">
      <x:c r="A1265" t="n">
        <x:v>2024</x:v>
      </x:c>
      <x:c r="B1265" t="str">
        <x:v>2024-05</x:v>
      </x:c>
      <x:c r="C1265" t="str">
        <x:v>Sports</x:v>
      </x:c>
      <x:c r="D1265" t="str">
        <x:v>Petrol</x:v>
      </x:c>
      <x:c r="E1265" t="str">
        <x:v>VIC</x:v>
      </x:c>
      <x:c r="F1265" s="11" t="n">
        <x:v>61617.5</x:v>
      </x:c>
      <x:c r="G1265" s="13" t="n">
        <x:v>12706</x:v>
      </x:c>
      <x:c r="H1265" s="11" t="n">
        <x:v>31231.5</x:v>
      </x:c>
      <x:c r="I1265" s="11" t="n">
        <x:v>59365.77</x:v>
      </x:c>
    </x:row>
    <x:row r="1266">
      <x:c r="A1266" t="n">
        <x:v>2024</x:v>
      </x:c>
      <x:c r="B1266" t="str">
        <x:v>2024-05</x:v>
      </x:c>
      <x:c r="C1266" t="str">
        <x:v>Water</x:v>
      </x:c>
      <x:c r="D1266" t="str">
        <x:v>Convenience</x:v>
      </x:c>
      <x:c r="E1266" t="str">
        <x:v>NSW</x:v>
      </x:c>
      <x:c r="F1266" s="11" t="n">
        <x:v>83261.15</x:v>
      </x:c>
      <x:c r="G1266" s="13" t="n">
        <x:v>26374</x:v>
      </x:c>
      <x:c r="H1266" s="11" t="n">
        <x:v>39813.09</x:v>
      </x:c>
      <x:c r="I1266" s="11" t="n">
        <x:v>82894.7</x:v>
      </x:c>
    </x:row>
    <x:row r="1267">
      <x:c r="A1267" t="n">
        <x:v>2024</x:v>
      </x:c>
      <x:c r="B1267" t="str">
        <x:v>2024-05</x:v>
      </x:c>
      <x:c r="C1267" t="str">
        <x:v>Water</x:v>
      </x:c>
      <x:c r="D1267" t="str">
        <x:v>Convenience</x:v>
      </x:c>
      <x:c r="E1267" t="str">
        <x:v>QLD</x:v>
      </x:c>
      <x:c r="F1267" s="11" t="n">
        <x:v>80835.14</x:v>
      </x:c>
      <x:c r="G1267" s="13" t="n">
        <x:v>24487</x:v>
      </x:c>
      <x:c r="H1267" s="11" t="n">
        <x:v>40204.68</x:v>
      </x:c>
      <x:c r="I1267" s="11" t="n">
        <x:v>79710.53</x:v>
      </x:c>
    </x:row>
    <x:row r="1268">
      <x:c r="A1268" t="n">
        <x:v>2024</x:v>
      </x:c>
      <x:c r="B1268" t="str">
        <x:v>2024-05</x:v>
      </x:c>
      <x:c r="C1268" t="str">
        <x:v>Water</x:v>
      </x:c>
      <x:c r="D1268" t="str">
        <x:v>Convenience</x:v>
      </x:c>
      <x:c r="E1268" t="str">
        <x:v>VIC</x:v>
      </x:c>
      <x:c r="F1268" s="11" t="n">
        <x:v>75762.94</x:v>
      </x:c>
      <x:c r="G1268" s="13" t="n">
        <x:v>23602</x:v>
      </x:c>
      <x:c r="H1268" s="11" t="n">
        <x:v>37080.09</x:v>
      </x:c>
      <x:c r="I1268" s="11" t="n">
        <x:v>77329.22</x:v>
      </x:c>
    </x:row>
    <x:row r="1269">
      <x:c r="A1269" t="n">
        <x:v>2024</x:v>
      </x:c>
      <x:c r="B1269" t="str">
        <x:v>2024-05</x:v>
      </x:c>
      <x:c r="C1269" t="str">
        <x:v>Water</x:v>
      </x:c>
      <x:c r="D1269" t="str">
        <x:v>Grocery</x:v>
      </x:c>
      <x:c r="E1269" t="str">
        <x:v>NSW</x:v>
      </x:c>
      <x:c r="F1269" s="11" t="n">
        <x:v>201018.39</x:v>
      </x:c>
      <x:c r="G1269" s="13" t="n">
        <x:v>73449</x:v>
      </x:c>
      <x:c r="H1269" s="11" t="n">
        <x:v>78845.14</x:v>
      </x:c>
      <x:c r="I1269" s="11" t="n">
        <x:v>206654.39</x:v>
      </x:c>
    </x:row>
    <x:row r="1270">
      <x:c r="A1270" t="n">
        <x:v>2024</x:v>
      </x:c>
      <x:c r="B1270" t="str">
        <x:v>2024-05</x:v>
      </x:c>
      <x:c r="C1270" t="str">
        <x:v>Water</x:v>
      </x:c>
      <x:c r="D1270" t="str">
        <x:v>Grocery</x:v>
      </x:c>
      <x:c r="E1270" t="str">
        <x:v>QLD</x:v>
      </x:c>
      <x:c r="F1270" s="11" t="n">
        <x:v>197718.38</x:v>
      </x:c>
      <x:c r="G1270" s="13" t="n">
        <x:v>73163</x:v>
      </x:c>
      <x:c r="H1270" s="11" t="n">
        <x:v>76678.51</x:v>
      </x:c>
      <x:c r="I1270" s="11" t="n">
        <x:v>198710.37</x:v>
      </x:c>
    </x:row>
    <x:row r="1271">
      <x:c r="A1271" t="n">
        <x:v>2024</x:v>
      </x:c>
      <x:c r="B1271" t="str">
        <x:v>2024-05</x:v>
      </x:c>
      <x:c r="C1271" t="str">
        <x:v>Water</x:v>
      </x:c>
      <x:c r="D1271" t="str">
        <x:v>Grocery</x:v>
      </x:c>
      <x:c r="E1271" t="str">
        <x:v>VIC</x:v>
      </x:c>
      <x:c r="F1271" s="11" t="n">
        <x:v>196596.26</x:v>
      </x:c>
      <x:c r="G1271" s="13" t="n">
        <x:v>72184</x:v>
      </x:c>
      <x:c r="H1271" s="11" t="n">
        <x:v>76143.31</x:v>
      </x:c>
      <x:c r="I1271" s="11" t="n">
        <x:v>192757.91</x:v>
      </x:c>
    </x:row>
    <x:row r="1272">
      <x:c r="A1272" t="n">
        <x:v>2024</x:v>
      </x:c>
      <x:c r="B1272" t="str">
        <x:v>2024-05</x:v>
      </x:c>
      <x:c r="C1272" t="str">
        <x:v>Water</x:v>
      </x:c>
      <x:c r="D1272" t="str">
        <x:v>Hospitality</x:v>
      </x:c>
      <x:c r="E1272" t="str">
        <x:v>NSW</x:v>
      </x:c>
      <x:c r="F1272" s="11" t="n">
        <x:v>25968.2</x:v>
      </x:c>
      <x:c r="G1272" s="13" t="n">
        <x:v>10539</x:v>
      </x:c>
      <x:c r="H1272" s="11" t="n">
        <x:v>8585.01</x:v>
      </x:c>
      <x:c r="I1272" s="11" t="n">
        <x:v>25874.18</x:v>
      </x:c>
    </x:row>
    <x:row r="1273">
      <x:c r="A1273" t="n">
        <x:v>2024</x:v>
      </x:c>
      <x:c r="B1273" t="str">
        <x:v>2024-05</x:v>
      </x:c>
      <x:c r="C1273" t="str">
        <x:v>Water</x:v>
      </x:c>
      <x:c r="D1273" t="str">
        <x:v>Hospitality</x:v>
      </x:c>
      <x:c r="E1273" t="str">
        <x:v>QLD</x:v>
      </x:c>
      <x:c r="F1273" s="11" t="n">
        <x:v>24696.79</x:v>
      </x:c>
      <x:c r="G1273" s="13" t="n">
        <x:v>9913</x:v>
      </x:c>
      <x:c r="H1273" s="11" t="n">
        <x:v>8453.26</x:v>
      </x:c>
      <x:c r="I1273" s="11" t="n">
        <x:v>24883.97</x:v>
      </x:c>
    </x:row>
    <x:row r="1274">
      <x:c r="A1274" t="n">
        <x:v>2024</x:v>
      </x:c>
      <x:c r="B1274" t="str">
        <x:v>2024-05</x:v>
      </x:c>
      <x:c r="C1274" t="str">
        <x:v>Water</x:v>
      </x:c>
      <x:c r="D1274" t="str">
        <x:v>Hospitality</x:v>
      </x:c>
      <x:c r="E1274" t="str">
        <x:v>VIC</x:v>
      </x:c>
      <x:c r="F1274" s="11" t="n">
        <x:v>24759.84</x:v>
      </x:c>
      <x:c r="G1274" s="13" t="n">
        <x:v>9957</x:v>
      </x:c>
      <x:c r="H1274" s="11" t="n">
        <x:v>8266.039999999999</x:v>
      </x:c>
      <x:c r="I1274" s="11" t="n">
        <x:v>24130.55</x:v>
      </x:c>
    </x:row>
    <x:row r="1275">
      <x:c r="A1275" t="n">
        <x:v>2024</x:v>
      </x:c>
      <x:c r="B1275" t="str">
        <x:v>2024-05</x:v>
      </x:c>
      <x:c r="C1275" t="str">
        <x:v>Water</x:v>
      </x:c>
      <x:c r="D1275" t="str">
        <x:v>Independent retail</x:v>
      </x:c>
      <x:c r="E1275" t="str">
        <x:v>NSW</x:v>
      </x:c>
      <x:c r="F1275" s="11" t="n">
        <x:v>70633.82</x:v>
      </x:c>
      <x:c r="G1275" s="13" t="n">
        <x:v>24414</x:v>
      </x:c>
      <x:c r="H1275" s="11" t="n">
        <x:v>30123.329999999998</x:v>
      </x:c>
      <x:c r="I1275" s="11" t="n">
        <x:v>70349.83</x:v>
      </x:c>
    </x:row>
    <x:row r="1276">
      <x:c r="A1276" t="n">
        <x:v>2024</x:v>
      </x:c>
      <x:c r="B1276" t="str">
        <x:v>2024-05</x:v>
      </x:c>
      <x:c r="C1276" t="str">
        <x:v>Water</x:v>
      </x:c>
      <x:c r="D1276" t="str">
        <x:v>Independent retail</x:v>
      </x:c>
      <x:c r="E1276" t="str">
        <x:v>QLD</x:v>
      </x:c>
      <x:c r="F1276" s="11" t="n">
        <x:v>68217.57</x:v>
      </x:c>
      <x:c r="G1276" s="13" t="n">
        <x:v>23207</x:v>
      </x:c>
      <x:c r="H1276" s="11" t="n">
        <x:v>29527.48</x:v>
      </x:c>
      <x:c r="I1276" s="11" t="n">
        <x:v>67627.78</x:v>
      </x:c>
    </x:row>
    <x:row r="1277">
      <x:c r="A1277" t="n">
        <x:v>2024</x:v>
      </x:c>
      <x:c r="B1277" t="str">
        <x:v>2024-05</x:v>
      </x:c>
      <x:c r="C1277" t="str">
        <x:v>Water</x:v>
      </x:c>
      <x:c r="D1277" t="str">
        <x:v>Independent retail</x:v>
      </x:c>
      <x:c r="E1277" t="str">
        <x:v>VIC</x:v>
      </x:c>
      <x:c r="F1277" s="11" t="n">
        <x:v>65279.86</x:v>
      </x:c>
      <x:c r="G1277" s="13" t="n">
        <x:v>22265</x:v>
      </x:c>
      <x:c r="H1277" s="11" t="n">
        <x:v>28335.19</x:v>
      </x:c>
      <x:c r="I1277" s="11" t="n">
        <x:v>65605.62</x:v>
      </x:c>
    </x:row>
    <x:row r="1278">
      <x:c r="A1278" t="n">
        <x:v>2024</x:v>
      </x:c>
      <x:c r="B1278" t="str">
        <x:v>2024-05</x:v>
      </x:c>
      <x:c r="C1278" t="str">
        <x:v>Water</x:v>
      </x:c>
      <x:c r="D1278" t="str">
        <x:v>Petrol</x:v>
      </x:c>
      <x:c r="E1278" t="str">
        <x:v>NSW</x:v>
      </x:c>
      <x:c r="F1278" s="11" t="n">
        <x:v>75145.1</x:v>
      </x:c>
      <x:c r="G1278" s="13" t="n">
        <x:v>23551</x:v>
      </x:c>
      <x:c r="H1278" s="11" t="n">
        <x:v>35878.25</x:v>
      </x:c>
      <x:c r="I1278" s="11" t="n">
        <x:v>75653.37</x:v>
      </x:c>
    </x:row>
    <x:row r="1279">
      <x:c r="A1279" t="n">
        <x:v>2024</x:v>
      </x:c>
      <x:c r="B1279" t="str">
        <x:v>2024-05</x:v>
      </x:c>
      <x:c r="C1279" t="str">
        <x:v>Water</x:v>
      </x:c>
      <x:c r="D1279" t="str">
        <x:v>Petrol</x:v>
      </x:c>
      <x:c r="E1279" t="str">
        <x:v>QLD</x:v>
      </x:c>
      <x:c r="F1279" s="11" t="n">
        <x:v>72083.87</x:v>
      </x:c>
      <x:c r="G1279" s="13" t="n">
        <x:v>23451</x:v>
      </x:c>
      <x:c r="H1279" s="11" t="n">
        <x:v>32931.34</x:v>
      </x:c>
      <x:c r="I1279" s="11" t="n">
        <x:v>72731.17</x:v>
      </x:c>
    </x:row>
    <x:row r="1280">
      <x:c r="A1280" t="n">
        <x:v>2024</x:v>
      </x:c>
      <x:c r="B1280" t="str">
        <x:v>2024-05</x:v>
      </x:c>
      <x:c r="C1280" t="str">
        <x:v>Water</x:v>
      </x:c>
      <x:c r="D1280" t="str">
        <x:v>Petrol</x:v>
      </x:c>
      <x:c r="E1280" t="str">
        <x:v>VIC</x:v>
      </x:c>
      <x:c r="F1280" s="11" t="n">
        <x:v>71644.92</x:v>
      </x:c>
      <x:c r="G1280" s="13" t="n">
        <x:v>22975</x:v>
      </x:c>
      <x:c r="H1280" s="11" t="n">
        <x:v>33388.2</x:v>
      </x:c>
      <x:c r="I1280" s="11" t="n">
        <x:v>70563.75</x:v>
      </x:c>
    </x:row>
    <x:row r="1281">
      <x:c r="A1281" t="n">
        <x:v>2024</x:v>
      </x:c>
      <x:c r="B1281" t="str">
        <x:v>2024-06</x:v>
      </x:c>
      <x:c r="C1281" t="str">
        <x:v>Coffee</x:v>
      </x:c>
      <x:c r="D1281" t="str">
        <x:v>Convenience</x:v>
      </x:c>
      <x:c r="E1281" t="str">
        <x:v>NSW</x:v>
      </x:c>
      <x:c r="F1281" s="11" t="n">
        <x:v>18891.53</x:v>
      </x:c>
      <x:c r="G1281" s="13" t="n">
        <x:v>3601</x:v>
      </x:c>
      <x:c r="H1281" s="11" t="n">
        <x:v>8059.06</x:v>
      </x:c>
      <x:c r="I1281" s="11" t="n">
        <x:v>25404.61</x:v>
      </x:c>
    </x:row>
    <x:row r="1282">
      <x:c r="A1282" t="n">
        <x:v>2024</x:v>
      </x:c>
      <x:c r="B1282" t="str">
        <x:v>2024-06</x:v>
      </x:c>
      <x:c r="C1282" t="str">
        <x:v>Coffee</x:v>
      </x:c>
      <x:c r="D1282" t="str">
        <x:v>Convenience</x:v>
      </x:c>
      <x:c r="E1282" t="str">
        <x:v>QLD</x:v>
      </x:c>
      <x:c r="F1282" s="11" t="n">
        <x:v>17439.15</x:v>
      </x:c>
      <x:c r="G1282" s="13" t="n">
        <x:v>3419</x:v>
      </x:c>
      <x:c r="H1282" s="11" t="n">
        <x:v>7074.61</x:v>
      </x:c>
      <x:c r="I1282" s="11" t="n">
        <x:v>24440.26</x:v>
      </x:c>
    </x:row>
    <x:row r="1283">
      <x:c r="A1283" t="n">
        <x:v>2024</x:v>
      </x:c>
      <x:c r="B1283" t="str">
        <x:v>2024-06</x:v>
      </x:c>
      <x:c r="C1283" t="str">
        <x:v>Coffee</x:v>
      </x:c>
      <x:c r="D1283" t="str">
        <x:v>Convenience</x:v>
      </x:c>
      <x:c r="E1283" t="str">
        <x:v>VIC</x:v>
      </x:c>
      <x:c r="F1283" s="11" t="n">
        <x:v>17584.48</x:v>
      </x:c>
      <x:c r="G1283" s="13" t="n">
        <x:v>3441</x:v>
      </x:c>
      <x:c r="H1283" s="11" t="n">
        <x:v>7240.14</x:v>
      </x:c>
      <x:c r="I1283" s="11" t="n">
        <x:v>23689.98</x:v>
      </x:c>
    </x:row>
    <x:row r="1284">
      <x:c r="A1284" t="n">
        <x:v>2024</x:v>
      </x:c>
      <x:c r="B1284" t="str">
        <x:v>2024-06</x:v>
      </x:c>
      <x:c r="C1284" t="str">
        <x:v>Coffee</x:v>
      </x:c>
      <x:c r="D1284" t="str">
        <x:v>Grocery</x:v>
      </x:c>
      <x:c r="E1284" t="str">
        <x:v>NSW</x:v>
      </x:c>
      <x:c r="F1284" s="11" t="n">
        <x:v>46111.26</x:v>
      </x:c>
      <x:c r="G1284" s="13" t="n">
        <x:v>10113</x:v>
      </x:c>
      <x:c r="H1284" s="11" t="n">
        <x:v>15885.45</x:v>
      </x:c>
      <x:c r="I1284" s="11" t="n">
        <x:v>63089.4</x:v>
      </x:c>
    </x:row>
    <x:row r="1285">
      <x:c r="A1285" t="n">
        <x:v>2024</x:v>
      </x:c>
      <x:c r="B1285" t="str">
        <x:v>2024-06</x:v>
      </x:c>
      <x:c r="C1285" t="str">
        <x:v>Coffee</x:v>
      </x:c>
      <x:c r="D1285" t="str">
        <x:v>Grocery</x:v>
      </x:c>
      <x:c r="E1285" t="str">
        <x:v>QLD</x:v>
      </x:c>
      <x:c r="F1285" s="11" t="n">
        <x:v>45668.69</x:v>
      </x:c>
      <x:c r="G1285" s="13" t="n">
        <x:v>9847</x:v>
      </x:c>
      <x:c r="H1285" s="11" t="n">
        <x:v>16081.92</x:v>
      </x:c>
      <x:c r="I1285" s="11" t="n">
        <x:v>60662.04</x:v>
      </x:c>
    </x:row>
    <x:row r="1286">
      <x:c r="A1286" t="n">
        <x:v>2024</x:v>
      </x:c>
      <x:c r="B1286" t="str">
        <x:v>2024-06</x:v>
      </x:c>
      <x:c r="C1286" t="str">
        <x:v>Coffee</x:v>
      </x:c>
      <x:c r="D1286" t="str">
        <x:v>Grocery</x:v>
      </x:c>
      <x:c r="E1286" t="str">
        <x:v>VIC</x:v>
      </x:c>
      <x:c r="F1286" s="11" t="n">
        <x:v>44379.6</x:v>
      </x:c>
      <x:c r="G1286" s="13" t="n">
        <x:v>9520</x:v>
      </x:c>
      <x:c r="H1286" s="11" t="n">
        <x:v>15728.68</x:v>
      </x:c>
      <x:c r="I1286" s="11" t="n">
        <x:v>58826.31</x:v>
      </x:c>
    </x:row>
    <x:row r="1287">
      <x:c r="A1287" t="n">
        <x:v>2024</x:v>
      </x:c>
      <x:c r="B1287" t="str">
        <x:v>2024-06</x:v>
      </x:c>
      <x:c r="C1287" t="str">
        <x:v>Coffee</x:v>
      </x:c>
      <x:c r="D1287" t="str">
        <x:v>Hospitality</x:v>
      </x:c>
      <x:c r="E1287" t="str">
        <x:v>NSW</x:v>
      </x:c>
      <x:c r="F1287" s="11" t="n">
        <x:v>5885.81</x:v>
      </x:c>
      <x:c r="G1287" s="13" t="n">
        <x:v>1384</x:v>
      </x:c>
      <x:c r="H1287" s="11" t="n">
        <x:v>1749.35</x:v>
      </x:c>
      <x:c r="I1287" s="11" t="n">
        <x:v>7916.97</x:v>
      </x:c>
    </x:row>
    <x:row r="1288">
      <x:c r="A1288" t="n">
        <x:v>2024</x:v>
      </x:c>
      <x:c r="B1288" t="str">
        <x:v>2024-06</x:v>
      </x:c>
      <x:c r="C1288" t="str">
        <x:v>Coffee</x:v>
      </x:c>
      <x:c r="D1288" t="str">
        <x:v>Hospitality</x:v>
      </x:c>
      <x:c r="E1288" t="str">
        <x:v>QLD</x:v>
      </x:c>
      <x:c r="F1288" s="11" t="n">
        <x:v>5557.5</x:v>
      </x:c>
      <x:c r="G1288" s="13" t="n">
        <x:v>1337</x:v>
      </x:c>
      <x:c r="H1288" s="11" t="n">
        <x:v>1533.2</x:v>
      </x:c>
      <x:c r="I1288" s="11" t="n">
        <x:v>7612.54</x:v>
      </x:c>
    </x:row>
    <x:row r="1289">
      <x:c r="A1289" t="n">
        <x:v>2024</x:v>
      </x:c>
      <x:c r="B1289" t="str">
        <x:v>2024-06</x:v>
      </x:c>
      <x:c r="C1289" t="str">
        <x:v>Coffee</x:v>
      </x:c>
      <x:c r="D1289" t="str">
        <x:v>Hospitality</x:v>
      </x:c>
      <x:c r="E1289" t="str">
        <x:v>VIC</x:v>
      </x:c>
      <x:c r="F1289" s="11" t="n">
        <x:v>5516.8</x:v>
      </x:c>
      <x:c r="G1289" s="13" t="n">
        <x:v>1291</x:v>
      </x:c>
      <x:c r="H1289" s="11" t="n">
        <x:v>1632.15</x:v>
      </x:c>
      <x:c r="I1289" s="11" t="n">
        <x:v>7381.759999999999</x:v>
      </x:c>
    </x:row>
    <x:row r="1290">
      <x:c r="A1290" t="n">
        <x:v>2024</x:v>
      </x:c>
      <x:c r="B1290" t="str">
        <x:v>2024-06</x:v>
      </x:c>
      <x:c r="C1290" t="str">
        <x:v>Coffee</x:v>
      </x:c>
      <x:c r="D1290" t="str">
        <x:v>Independent retail</x:v>
      </x:c>
      <x:c r="E1290" t="str">
        <x:v>NSW</x:v>
      </x:c>
      <x:c r="F1290" s="11" t="n">
        <x:v>15272.61</x:v>
      </x:c>
      <x:c r="G1290" s="13" t="n">
        <x:v>3371</x:v>
      </x:c>
      <x:c r="H1290" s="11" t="n">
        <x:v>5149.62</x:v>
      </x:c>
      <x:c r="I1290" s="11" t="n">
        <x:v>21431.87</x:v>
      </x:c>
    </x:row>
    <x:row r="1291">
      <x:c r="A1291" t="n">
        <x:v>2024</x:v>
      </x:c>
      <x:c r="B1291" t="str">
        <x:v>2024-06</x:v>
      </x:c>
      <x:c r="C1291" t="str">
        <x:v>Coffee</x:v>
      </x:c>
      <x:c r="D1291" t="str">
        <x:v>Independent retail</x:v>
      </x:c>
      <x:c r="E1291" t="str">
        <x:v>QLD</x:v>
      </x:c>
      <x:c r="F1291" s="11" t="n">
        <x:v>14823.89</x:v>
      </x:c>
      <x:c r="G1291" s="13" t="n">
        <x:v>3334</x:v>
      </x:c>
      <x:c r="H1291" s="11" t="n">
        <x:v>4851.18</x:v>
      </x:c>
      <x:c r="I1291" s="11" t="n">
        <x:v>20609.16</x:v>
      </x:c>
    </x:row>
    <x:row r="1292">
      <x:c r="A1292" t="n">
        <x:v>2024</x:v>
      </x:c>
      <x:c r="B1292" t="str">
        <x:v>2024-06</x:v>
      </x:c>
      <x:c r="C1292" t="str">
        <x:v>Coffee</x:v>
      </x:c>
      <x:c r="D1292" t="str">
        <x:v>Independent retail</x:v>
      </x:c>
      <x:c r="E1292" t="str">
        <x:v>VIC</x:v>
      </x:c>
      <x:c r="F1292" s="11" t="n">
        <x:v>14910.25</x:v>
      </x:c>
      <x:c r="G1292" s="13" t="n">
        <x:v>3332</x:v>
      </x:c>
      <x:c r="H1292" s="11" t="n">
        <x:v>4925.84</x:v>
      </x:c>
      <x:c r="I1292" s="11" t="n">
        <x:v>19988.62</x:v>
      </x:c>
    </x:row>
    <x:row r="1293">
      <x:c r="A1293" t="n">
        <x:v>2024</x:v>
      </x:c>
      <x:c r="B1293" t="str">
        <x:v>2024-06</x:v>
      </x:c>
      <x:c r="C1293" t="str">
        <x:v>Coffee</x:v>
      </x:c>
      <x:c r="D1293" t="str">
        <x:v>Petrol</x:v>
      </x:c>
      <x:c r="E1293" t="str">
        <x:v>NSW</x:v>
      </x:c>
      <x:c r="F1293" s="11" t="n">
        <x:v>16654.7</x:v>
      </x:c>
      <x:c r="G1293" s="13" t="n">
        <x:v>3417</x:v>
      </x:c>
      <x:c r="H1293" s="11" t="n">
        <x:v>6389.82</x:v>
      </x:c>
      <x:c r="I1293" s="11" t="n">
        <x:v>23100.579999999998</x:v>
      </x:c>
    </x:row>
    <x:row r="1294">
      <x:c r="A1294" t="n">
        <x:v>2024</x:v>
      </x:c>
      <x:c r="B1294" t="str">
        <x:v>2024-06</x:v>
      </x:c>
      <x:c r="C1294" t="str">
        <x:v>Coffee</x:v>
      </x:c>
      <x:c r="D1294" t="str">
        <x:v>Petrol</x:v>
      </x:c>
      <x:c r="E1294" t="str">
        <x:v>QLD</x:v>
      </x:c>
      <x:c r="F1294" s="11" t="n">
        <x:v>16263.91</x:v>
      </x:c>
      <x:c r="G1294" s="13" t="n">
        <x:v>3206</x:v>
      </x:c>
      <x:c r="H1294" s="11" t="n">
        <x:v>6725.37</x:v>
      </x:c>
      <x:c r="I1294" s="11" t="n">
        <x:v>22219.5</x:v>
      </x:c>
    </x:row>
    <x:row r="1295">
      <x:c r="A1295" t="n">
        <x:v>2024</x:v>
      </x:c>
      <x:c r="B1295" t="str">
        <x:v>2024-06</x:v>
      </x:c>
      <x:c r="C1295" t="str">
        <x:v>Coffee</x:v>
      </x:c>
      <x:c r="D1295" t="str">
        <x:v>Petrol</x:v>
      </x:c>
      <x:c r="E1295" t="str">
        <x:v>VIC</x:v>
      </x:c>
      <x:c r="F1295" s="11" t="n">
        <x:v>15799.98</x:v>
      </x:c>
      <x:c r="G1295" s="13" t="n">
        <x:v>3169</x:v>
      </x:c>
      <x:c r="H1295" s="11" t="n">
        <x:v>6296.32</x:v>
      </x:c>
      <x:c r="I1295" s="11" t="n">
        <x:v>21551.95</x:v>
      </x:c>
    </x:row>
    <x:row r="1296">
      <x:c r="A1296" t="n">
        <x:v>2024</x:v>
      </x:c>
      <x:c r="B1296" t="str">
        <x:v>2024-06</x:v>
      </x:c>
      <x:c r="C1296" t="str">
        <x:v>Energy</x:v>
      </x:c>
      <x:c r="D1296" t="str">
        <x:v>Convenience</x:v>
      </x:c>
      <x:c r="E1296" t="str">
        <x:v>NSW</x:v>
      </x:c>
      <x:c r="F1296" s="11" t="n">
        <x:v>78347.29</x:v>
      </x:c>
      <x:c r="G1296" s="13" t="n">
        <x:v>14386</x:v>
      </x:c>
      <x:c r="H1296" s="11" t="n">
        <x:v>46446.38</x:v>
      </x:c>
      <x:c r="I1296" s="11" t="n">
        <x:v>106939.55</x:v>
      </x:c>
    </x:row>
    <x:row r="1297">
      <x:c r="A1297" t="n">
        <x:v>2024</x:v>
      </x:c>
      <x:c r="B1297" t="str">
        <x:v>2024-06</x:v>
      </x:c>
      <x:c r="C1297" t="str">
        <x:v>Energy</x:v>
      </x:c>
      <x:c r="D1297" t="str">
        <x:v>Convenience</x:v>
      </x:c>
      <x:c r="E1297" t="str">
        <x:v>QLD</x:v>
      </x:c>
      <x:c r="F1297" s="11" t="n">
        <x:v>73588.7</x:v>
      </x:c>
      <x:c r="G1297" s="13" t="n">
        <x:v>13502</x:v>
      </x:c>
      <x:c r="H1297" s="11" t="n">
        <x:v>44468.96</x:v>
      </x:c>
      <x:c r="I1297" s="11" t="n">
        <x:v>102823.53</x:v>
      </x:c>
    </x:row>
    <x:row r="1298">
      <x:c r="A1298" t="n">
        <x:v>2024</x:v>
      </x:c>
      <x:c r="B1298" t="str">
        <x:v>2024-06</x:v>
      </x:c>
      <x:c r="C1298" t="str">
        <x:v>Energy</x:v>
      </x:c>
      <x:c r="D1298" t="str">
        <x:v>Convenience</x:v>
      </x:c>
      <x:c r="E1298" t="str">
        <x:v>VIC</x:v>
      </x:c>
      <x:c r="F1298" s="11" t="n">
        <x:v>72349.26</x:v>
      </x:c>
      <x:c r="G1298" s="13" t="n">
        <x:v>13222</x:v>
      </x:c>
      <x:c r="H1298" s="11" t="n">
        <x:v>43451.89</x:v>
      </x:c>
      <x:c r="I1298" s="11" t="n">
        <x:v>99724.89</x:v>
      </x:c>
    </x:row>
    <x:row r="1299">
      <x:c r="A1299" t="n">
        <x:v>2024</x:v>
      </x:c>
      <x:c r="B1299" t="str">
        <x:v>2024-06</x:v>
      </x:c>
      <x:c r="C1299" t="str">
        <x:v>Energy</x:v>
      </x:c>
      <x:c r="D1299" t="str">
        <x:v>Grocery</x:v>
      </x:c>
      <x:c r="E1299" t="str">
        <x:v>NSW</x:v>
      </x:c>
      <x:c r="F1299" s="11" t="n">
        <x:v>303881.87</x:v>
      </x:c>
      <x:c r="G1299" s="13" t="n">
        <x:v>62473</x:v>
      </x:c>
      <x:c r="H1299" s="11" t="n">
        <x:v>163975.75</x:v>
      </x:c>
      <x:c r="I1299" s="11" t="n">
        <x:v>266253.61</x:v>
      </x:c>
    </x:row>
    <x:row r="1300">
      <x:c r="A1300" t="n">
        <x:v>2024</x:v>
      </x:c>
      <x:c r="B1300" t="str">
        <x:v>2024-06</x:v>
      </x:c>
      <x:c r="C1300" t="str">
        <x:v>Energy</x:v>
      </x:c>
      <x:c r="D1300" t="str">
        <x:v>Grocery</x:v>
      </x:c>
      <x:c r="E1300" t="str">
        <x:v>QLD</x:v>
      </x:c>
      <x:c r="F1300" s="11" t="n">
        <x:v>288071.51</x:v>
      </x:c>
      <x:c r="G1300" s="13" t="n">
        <x:v>60565</x:v>
      </x:c>
      <x:c r="H1300" s="11" t="n">
        <x:v>152916.37</x:v>
      </x:c>
      <x:c r="I1300" s="11" t="n">
        <x:v>255994.85</x:v>
      </x:c>
    </x:row>
    <x:row r="1301">
      <x:c r="A1301" t="n">
        <x:v>2024</x:v>
      </x:c>
      <x:c r="B1301" t="str">
        <x:v>2024-06</x:v>
      </x:c>
      <x:c r="C1301" t="str">
        <x:v>Energy</x:v>
      </x:c>
      <x:c r="D1301" t="str">
        <x:v>Grocery</x:v>
      </x:c>
      <x:c r="E1301" t="str">
        <x:v>VIC</x:v>
      </x:c>
      <x:c r="F1301" s="11" t="n">
        <x:v>287609.35</x:v>
      </x:c>
      <x:c r="G1301" s="13" t="n">
        <x:v>59641</x:v>
      </x:c>
      <x:c r="H1301" s="11" t="n">
        <x:v>153412.45</x:v>
      </x:c>
      <x:c r="I1301" s="11" t="n">
        <x:v>248327.49</x:v>
      </x:c>
    </x:row>
    <x:row r="1302">
      <x:c r="A1302" t="n">
        <x:v>2024</x:v>
      </x:c>
      <x:c r="B1302" t="str">
        <x:v>2024-06</x:v>
      </x:c>
      <x:c r="C1302" t="str">
        <x:v>Energy</x:v>
      </x:c>
      <x:c r="D1302" t="str">
        <x:v>Hospitality</x:v>
      </x:c>
      <x:c r="E1302" t="str">
        <x:v>NSW</x:v>
      </x:c>
      <x:c r="F1302" s="11" t="n">
        <x:v>38685.25</x:v>
      </x:c>
      <x:c r="G1302" s="13" t="n">
        <x:v>8735</x:v>
      </x:c>
      <x:c r="H1302" s="11" t="n">
        <x:v>19079.84</x:v>
      </x:c>
      <x:c r="I1302" s="11" t="n">
        <x:v>33370.78</x:v>
      </x:c>
    </x:row>
    <x:row r="1303">
      <x:c r="A1303" t="n">
        <x:v>2024</x:v>
      </x:c>
      <x:c r="B1303" t="str">
        <x:v>2024-06</x:v>
      </x:c>
      <x:c r="C1303" t="str">
        <x:v>Energy</x:v>
      </x:c>
      <x:c r="D1303" t="str">
        <x:v>Hospitality</x:v>
      </x:c>
      <x:c r="E1303" t="str">
        <x:v>QLD</x:v>
      </x:c>
      <x:c r="F1303" s="11" t="n">
        <x:v>37186.56</x:v>
      </x:c>
      <x:c r="G1303" s="13" t="n">
        <x:v>8583</x:v>
      </x:c>
      <x:c r="H1303" s="11" t="n">
        <x:v>18149.49</x:v>
      </x:c>
      <x:c r="I1303" s="11" t="n">
        <x:v>32088.739999999998</x:v>
      </x:c>
    </x:row>
    <x:row r="1304">
      <x:c r="A1304" t="n">
        <x:v>2024</x:v>
      </x:c>
      <x:c r="B1304" t="str">
        <x:v>2024-06</x:v>
      </x:c>
      <x:c r="C1304" t="str">
        <x:v>Energy</x:v>
      </x:c>
      <x:c r="D1304" t="str">
        <x:v>Hospitality</x:v>
      </x:c>
      <x:c r="E1304" t="str">
        <x:v>VIC</x:v>
      </x:c>
      <x:c r="F1304" s="11" t="n">
        <x:v>35499.09</x:v>
      </x:c>
      <x:c r="G1304" s="13" t="n">
        <x:v>8081</x:v>
      </x:c>
      <x:c r="H1304" s="11" t="n">
        <x:v>17390.18</x:v>
      </x:c>
      <x:c r="I1304" s="11" t="n">
        <x:v>31120.91</x:v>
      </x:c>
    </x:row>
    <x:row r="1305">
      <x:c r="A1305" t="n">
        <x:v>2024</x:v>
      </x:c>
      <x:c r="B1305" t="str">
        <x:v>2024-06</x:v>
      </x:c>
      <x:c r="C1305" t="str">
        <x:v>Energy</x:v>
      </x:c>
      <x:c r="D1305" t="str">
        <x:v>Independent retail</x:v>
      </x:c>
      <x:c r="E1305" t="str">
        <x:v>NSW</x:v>
      </x:c>
      <x:c r="F1305" s="11" t="n">
        <x:v>101784.77</x:v>
      </x:c>
      <x:c r="G1305" s="13" t="n">
        <x:v>20886</x:v>
      </x:c>
      <x:c r="H1305" s="11" t="n">
        <x:v>55988.590000000004</x:v>
      </x:c>
      <x:c r="I1305" s="11" t="n">
        <x:v>90486.55</x:v>
      </x:c>
    </x:row>
    <x:row r="1306">
      <x:c r="A1306" t="n">
        <x:v>2024</x:v>
      </x:c>
      <x:c r="B1306" t="str">
        <x:v>2024-06</x:v>
      </x:c>
      <x:c r="C1306" t="str">
        <x:v>Energy</x:v>
      </x:c>
      <x:c r="D1306" t="str">
        <x:v>Independent retail</x:v>
      </x:c>
      <x:c r="E1306" t="str">
        <x:v>QLD</x:v>
      </x:c>
      <x:c r="F1306" s="11" t="n">
        <x:v>98394</x:v>
      </x:c>
      <x:c r="G1306" s="13" t="n">
        <x:v>19650</x:v>
      </x:c>
      <x:c r="H1306" s="11" t="n">
        <x:v>54812.33</x:v>
      </x:c>
      <x:c r="I1306" s="11" t="n">
        <x:v>87004.45</x:v>
      </x:c>
    </x:row>
    <x:row r="1307">
      <x:c r="A1307" t="n">
        <x:v>2024</x:v>
      </x:c>
      <x:c r="B1307" t="str">
        <x:v>2024-06</x:v>
      </x:c>
      <x:c r="C1307" t="str">
        <x:v>Energy</x:v>
      </x:c>
      <x:c r="D1307" t="str">
        <x:v>Independent retail</x:v>
      </x:c>
      <x:c r="E1307" t="str">
        <x:v>VIC</x:v>
      </x:c>
      <x:c r="F1307" s="11" t="n">
        <x:v>95690.35</x:v>
      </x:c>
      <x:c r="G1307" s="13" t="n">
        <x:v>19280</x:v>
      </x:c>
      <x:c r="H1307" s="11" t="n">
        <x:v>53273.88</x:v>
      </x:c>
      <x:c r="I1307" s="11" t="n">
        <x:v>84380.54</x:v>
      </x:c>
    </x:row>
    <x:row r="1308">
      <x:c r="A1308" t="n">
        <x:v>2024</x:v>
      </x:c>
      <x:c r="B1308" t="str">
        <x:v>2024-06</x:v>
      </x:c>
      <x:c r="C1308" t="str">
        <x:v>Energy</x:v>
      </x:c>
      <x:c r="D1308" t="str">
        <x:v>Petrol</x:v>
      </x:c>
      <x:c r="E1308" t="str">
        <x:v>NSW</x:v>
      </x:c>
      <x:c r="F1308" s="11" t="n">
        <x:v>111151.55</x:v>
      </x:c>
      <x:c r="G1308" s="13" t="n">
        <x:v>20730</x:v>
      </x:c>
      <x:c r="H1308" s="11" t="n">
        <x:v>65898.13</x:v>
      </x:c>
      <x:c r="I1308" s="11" t="n">
        <x:v>97566.16</x:v>
      </x:c>
    </x:row>
    <x:row r="1309">
      <x:c r="A1309" t="n">
        <x:v>2024</x:v>
      </x:c>
      <x:c r="B1309" t="str">
        <x:v>2024-06</x:v>
      </x:c>
      <x:c r="C1309" t="str">
        <x:v>Energy</x:v>
      </x:c>
      <x:c r="D1309" t="str">
        <x:v>Petrol</x:v>
      </x:c>
      <x:c r="E1309" t="str">
        <x:v>QLD</x:v>
      </x:c>
      <x:c r="F1309" s="11" t="n">
        <x:v>106182.21</x:v>
      </x:c>
      <x:c r="G1309" s="13" t="n">
        <x:v>19275</x:v>
      </x:c>
      <x:c r="H1309" s="11" t="n">
        <x:v>62409.3</x:v>
      </x:c>
      <x:c r="I1309" s="11" t="n">
        <x:v>93808.87</x:v>
      </x:c>
    </x:row>
    <x:row r="1310">
      <x:c r="A1310" t="n">
        <x:v>2024</x:v>
      </x:c>
      <x:c r="B1310" t="str">
        <x:v>2024-06</x:v>
      </x:c>
      <x:c r="C1310" t="str">
        <x:v>Energy</x:v>
      </x:c>
      <x:c r="D1310" t="str">
        <x:v>Petrol</x:v>
      </x:c>
      <x:c r="E1310" t="str">
        <x:v>VIC</x:v>
      </x:c>
      <x:c r="F1310" s="11" t="n">
        <x:v>104974.69</x:v>
      </x:c>
      <x:c r="G1310" s="13" t="n">
        <x:v>19140</x:v>
      </x:c>
      <x:c r="H1310" s="11" t="n">
        <x:v>62505.41</x:v>
      </x:c>
      <x:c r="I1310" s="11" t="n">
        <x:v>91010.26</x:v>
      </x:c>
    </x:row>
    <x:row r="1311">
      <x:c r="A1311" t="n">
        <x:v>2024</x:v>
      </x:c>
      <x:c r="B1311" t="str">
        <x:v>2024-06</x:v>
      </x:c>
      <x:c r="C1311" t="str">
        <x:v>Sparkling</x:v>
      </x:c>
      <x:c r="D1311" t="str">
        <x:v>Convenience</x:v>
      </x:c>
      <x:c r="E1311" t="str">
        <x:v>NSW</x:v>
      </x:c>
      <x:c r="F1311" s="11" t="n">
        <x:v>111754.62</x:v>
      </x:c>
      <x:c r="G1311" s="13" t="n">
        <x:v>26798</x:v>
      </x:c>
      <x:c r="H1311" s="11" t="n">
        <x:v>61396.13</x:v>
      </x:c>
      <x:c r="I1311" s="11" t="n">
        <x:v>113775.22</x:v>
      </x:c>
    </x:row>
    <x:row r="1312">
      <x:c r="A1312" t="n">
        <x:v>2024</x:v>
      </x:c>
      <x:c r="B1312" t="str">
        <x:v>2024-06</x:v>
      </x:c>
      <x:c r="C1312" t="str">
        <x:v>Sparkling</x:v>
      </x:c>
      <x:c r="D1312" t="str">
        <x:v>Convenience</x:v>
      </x:c>
      <x:c r="E1312" t="str">
        <x:v>QLD</x:v>
      </x:c>
      <x:c r="F1312" s="11" t="n">
        <x:v>105948.22</x:v>
      </x:c>
      <x:c r="G1312" s="13" t="n">
        <x:v>25104</x:v>
      </x:c>
      <x:c r="H1312" s="11" t="n">
        <x:v>58573.64</x:v>
      </x:c>
      <x:c r="I1312" s="11" t="n">
        <x:v>109410.03</x:v>
      </x:c>
    </x:row>
    <x:row r="1313">
      <x:c r="A1313" t="n">
        <x:v>2024</x:v>
      </x:c>
      <x:c r="B1313" t="str">
        <x:v>2024-06</x:v>
      </x:c>
      <x:c r="C1313" t="str">
        <x:v>Sparkling</x:v>
      </x:c>
      <x:c r="D1313" t="str">
        <x:v>Convenience</x:v>
      </x:c>
      <x:c r="E1313" t="str">
        <x:v>VIC</x:v>
      </x:c>
      <x:c r="F1313" s="11" t="n">
        <x:v>103546.39</x:v>
      </x:c>
      <x:c r="G1313" s="13" t="n">
        <x:v>24972</x:v>
      </x:c>
      <x:c r="H1313" s="11" t="n">
        <x:v>57030.22</x:v>
      </x:c>
      <x:c r="I1313" s="11" t="n">
        <x:v>106121.12</x:v>
      </x:c>
    </x:row>
    <x:row r="1314">
      <x:c r="A1314" t="n">
        <x:v>2024</x:v>
      </x:c>
      <x:c r="B1314" t="str">
        <x:v>2024-06</x:v>
      </x:c>
      <x:c r="C1314" t="str">
        <x:v>Sparkling</x:v>
      </x:c>
      <x:c r="D1314" t="str">
        <x:v>Grocery</x:v>
      </x:c>
      <x:c r="E1314" t="str">
        <x:v>NSW</x:v>
      </x:c>
      <x:c r="F1314" s="11" t="n">
        <x:v>277194.71</x:v>
      </x:c>
      <x:c r="G1314" s="13" t="n">
        <x:v>78395</x:v>
      </x:c>
      <x:c r="H1314" s="11" t="n">
        <x:v>128379.47</x:v>
      </x:c>
      <x:c r="I1314" s="11" t="n">
        <x:v>282897.57</x:v>
      </x:c>
    </x:row>
    <x:row r="1315">
      <x:c r="A1315" t="n">
        <x:v>2024</x:v>
      </x:c>
      <x:c r="B1315" t="str">
        <x:v>2024-06</x:v>
      </x:c>
      <x:c r="C1315" t="str">
        <x:v>Sparkling</x:v>
      </x:c>
      <x:c r="D1315" t="str">
        <x:v>Grocery</x:v>
      </x:c>
      <x:c r="E1315" t="str">
        <x:v>QLD</x:v>
      </x:c>
      <x:c r="F1315" s="11" t="n">
        <x:v>263883.45</x:v>
      </x:c>
      <x:c r="G1315" s="13" t="n">
        <x:v>74615</x:v>
      </x:c>
      <x:c r="H1315" s="11" t="n">
        <x:v>123461.72</x:v>
      </x:c>
      <x:c r="I1315" s="11" t="n">
        <x:v>271999.76</x:v>
      </x:c>
    </x:row>
    <x:row r="1316">
      <x:c r="A1316" t="n">
        <x:v>2024</x:v>
      </x:c>
      <x:c r="B1316" t="str">
        <x:v>2024-06</x:v>
      </x:c>
      <x:c r="C1316" t="str">
        <x:v>Sparkling</x:v>
      </x:c>
      <x:c r="D1316" t="str">
        <x:v>Grocery</x:v>
      </x:c>
      <x:c r="E1316" t="str">
        <x:v>VIC</x:v>
      </x:c>
      <x:c r="F1316" s="11" t="n">
        <x:v>256945.87</x:v>
      </x:c>
      <x:c r="G1316" s="13" t="n">
        <x:v>73206</x:v>
      </x:c>
      <x:c r="H1316" s="11" t="n">
        <x:v>118666.76</x:v>
      </x:c>
      <x:c r="I1316" s="11" t="n">
        <x:v>263852.94</x:v>
      </x:c>
    </x:row>
    <x:row r="1317">
      <x:c r="A1317" t="n">
        <x:v>2024</x:v>
      </x:c>
      <x:c r="B1317" t="str">
        <x:v>2024-06</x:v>
      </x:c>
      <x:c r="C1317" t="str">
        <x:v>Sparkling</x:v>
      </x:c>
      <x:c r="D1317" t="str">
        <x:v>Hospitality</x:v>
      </x:c>
      <x:c r="E1317" t="str">
        <x:v>NSW</x:v>
      </x:c>
      <x:c r="F1317" s="11" t="n">
        <x:v>34908.73</x:v>
      </x:c>
      <x:c r="G1317" s="13" t="n">
        <x:v>10786</x:v>
      </x:c>
      <x:c r="H1317" s="11" t="n">
        <x:v>14534.97</x:v>
      </x:c>
      <x:c r="I1317" s="11" t="n">
        <x:v>35413.15</x:v>
      </x:c>
    </x:row>
    <x:row r="1318">
      <x:c r="A1318" t="n">
        <x:v>2024</x:v>
      </x:c>
      <x:c r="B1318" t="str">
        <x:v>2024-06</x:v>
      </x:c>
      <x:c r="C1318" t="str">
        <x:v>Sparkling</x:v>
      </x:c>
      <x:c r="D1318" t="str">
        <x:v>Hospitality</x:v>
      </x:c>
      <x:c r="E1318" t="str">
        <x:v>QLD</x:v>
      </x:c>
      <x:c r="F1318" s="11" t="n">
        <x:v>33310.3</x:v>
      </x:c>
      <x:c r="G1318" s="13" t="n">
        <x:v>10177</x:v>
      </x:c>
      <x:c r="H1318" s="11" t="n">
        <x:v>14331.87</x:v>
      </x:c>
      <x:c r="I1318" s="11" t="n">
        <x:v>34033.73</x:v>
      </x:c>
    </x:row>
    <x:row r="1319">
      <x:c r="A1319" t="n">
        <x:v>2024</x:v>
      </x:c>
      <x:c r="B1319" t="str">
        <x:v>2024-06</x:v>
      </x:c>
      <x:c r="C1319" t="str">
        <x:v>Sparkling</x:v>
      </x:c>
      <x:c r="D1319" t="str">
        <x:v>Hospitality</x:v>
      </x:c>
      <x:c r="E1319" t="str">
        <x:v>VIC</x:v>
      </x:c>
      <x:c r="F1319" s="11" t="n">
        <x:v>32169.59</x:v>
      </x:c>
      <x:c r="G1319" s="13" t="n">
        <x:v>9921</x:v>
      </x:c>
      <x:c r="H1319" s="11" t="n">
        <x:v>13544.52</x:v>
      </x:c>
      <x:c r="I1319" s="11" t="n">
        <x:v>33012.47</x:v>
      </x:c>
    </x:row>
    <x:row r="1320">
      <x:c r="A1320" t="n">
        <x:v>2024</x:v>
      </x:c>
      <x:c r="B1320" t="str">
        <x:v>2024-06</x:v>
      </x:c>
      <x:c r="C1320" t="str">
        <x:v>Sparkling</x:v>
      </x:c>
      <x:c r="D1320" t="str">
        <x:v>Independent retail</x:v>
      </x:c>
      <x:c r="E1320" t="str">
        <x:v>NSW</x:v>
      </x:c>
      <x:c r="F1320" s="11" t="n">
        <x:v>93034.4</x:v>
      </x:c>
      <x:c r="G1320" s="13" t="n">
        <x:v>25262</x:v>
      </x:c>
      <x:c r="H1320" s="11" t="n">
        <x:v>46015.07</x:v>
      </x:c>
      <x:c r="I1320" s="11" t="n">
        <x:v>96267.32</x:v>
      </x:c>
    </x:row>
    <x:row r="1321">
      <x:c r="A1321" t="n">
        <x:v>2024</x:v>
      </x:c>
      <x:c r="B1321" t="str">
        <x:v>2024-06</x:v>
      </x:c>
      <x:c r="C1321" t="str">
        <x:v>Sparkling</x:v>
      </x:c>
      <x:c r="D1321" t="str">
        <x:v>Independent retail</x:v>
      </x:c>
      <x:c r="E1321" t="str">
        <x:v>QLD</x:v>
      </x:c>
      <x:c r="F1321" s="11" t="n">
        <x:v>91381.77</x:v>
      </x:c>
      <x:c r="G1321" s="13" t="n">
        <x:v>24433</x:v>
      </x:c>
      <x:c r="H1321" s="11" t="n">
        <x:v>45019.79</x:v>
      </x:c>
      <x:c r="I1321" s="11" t="n">
        <x:v>92549.93000000001</x:v>
      </x:c>
    </x:row>
    <x:row r="1322">
      <x:c r="A1322" t="n">
        <x:v>2024</x:v>
      </x:c>
      <x:c r="B1322" t="str">
        <x:v>2024-06</x:v>
      </x:c>
      <x:c r="C1322" t="str">
        <x:v>Sparkling</x:v>
      </x:c>
      <x:c r="D1322" t="str">
        <x:v>Independent retail</x:v>
      </x:c>
      <x:c r="E1322" t="str">
        <x:v>VIC</x:v>
      </x:c>
      <x:c r="F1322" s="11" t="n">
        <x:v>89633.6</x:v>
      </x:c>
      <x:c r="G1322" s="13" t="n">
        <x:v>24092</x:v>
      </x:c>
      <x:c r="H1322" s="11" t="n">
        <x:v>44479.5</x:v>
      </x:c>
      <x:c r="I1322" s="11" t="n">
        <x:v>89781.89</x:v>
      </x:c>
    </x:row>
    <x:row r="1323">
      <x:c r="A1323" t="n">
        <x:v>2024</x:v>
      </x:c>
      <x:c r="B1323" t="str">
        <x:v>2024-06</x:v>
      </x:c>
      <x:c r="C1323" t="str">
        <x:v>Sparkling</x:v>
      </x:c>
      <x:c r="D1323" t="str">
        <x:v>Petrol</x:v>
      </x:c>
      <x:c r="E1323" t="str">
        <x:v>NSW</x:v>
      </x:c>
      <x:c r="F1323" s="11" t="n">
        <x:v>104464.77</x:v>
      </x:c>
      <x:c r="G1323" s="13" t="n">
        <x:v>25603</x:v>
      </x:c>
      <x:c r="H1323" s="11" t="n">
        <x:v>55719.67</x:v>
      </x:c>
      <x:c r="I1323" s="11" t="n">
        <x:v>103730.59</x:v>
      </x:c>
    </x:row>
    <x:row r="1324">
      <x:c r="A1324" t="n">
        <x:v>2024</x:v>
      </x:c>
      <x:c r="B1324" t="str">
        <x:v>2024-06</x:v>
      </x:c>
      <x:c r="C1324" t="str">
        <x:v>Sparkling</x:v>
      </x:c>
      <x:c r="D1324" t="str">
        <x:v>Petrol</x:v>
      </x:c>
      <x:c r="E1324" t="str">
        <x:v>QLD</x:v>
      </x:c>
      <x:c r="F1324" s="11" t="n">
        <x:v>99341.63</x:v>
      </x:c>
      <x:c r="G1324" s="13" t="n">
        <x:v>25059</x:v>
      </x:c>
      <x:c r="H1324" s="11" t="n">
        <x:v>51820.21</x:v>
      </x:c>
      <x:c r="I1324" s="11" t="n">
        <x:v>99729.42</x:v>
      </x:c>
    </x:row>
    <x:row r="1325">
      <x:c r="A1325" t="n">
        <x:v>2024</x:v>
      </x:c>
      <x:c r="B1325" t="str">
        <x:v>2024-06</x:v>
      </x:c>
      <x:c r="C1325" t="str">
        <x:v>Sparkling</x:v>
      </x:c>
      <x:c r="D1325" t="str">
        <x:v>Petrol</x:v>
      </x:c>
      <x:c r="E1325" t="str">
        <x:v>VIC</x:v>
      </x:c>
      <x:c r="F1325" s="11" t="n">
        <x:v>96315.18</x:v>
      </x:c>
      <x:c r="G1325" s="13" t="n">
        <x:v>24204</x:v>
      </x:c>
      <x:c r="H1325" s="11" t="n">
        <x:v>50388.46</x:v>
      </x:c>
      <x:c r="I1325" s="11" t="n">
        <x:v>96766.71</x:v>
      </x:c>
    </x:row>
    <x:row r="1326">
      <x:c r="A1326" t="n">
        <x:v>2024</x:v>
      </x:c>
      <x:c r="B1326" t="str">
        <x:v>2024-06</x:v>
      </x:c>
      <x:c r="C1326" t="str">
        <x:v>Sports</x:v>
      </x:c>
      <x:c r="D1326" t="str">
        <x:v>Convenience</x:v>
      </x:c>
      <x:c r="E1326" t="str">
        <x:v>NSW</x:v>
      </x:c>
      <x:c r="F1326" s="11" t="n">
        <x:v>66608.09</x:v>
      </x:c>
      <x:c r="G1326" s="13" t="n">
        <x:v>13106</x:v>
      </x:c>
      <x:c r="H1326" s="11" t="n">
        <x:v>35269.17</x:v>
      </x:c>
      <x:c r="I1326" s="11" t="n">
        <x:v>62826.93</x:v>
      </x:c>
    </x:row>
    <x:row r="1327">
      <x:c r="A1327" t="n">
        <x:v>2024</x:v>
      </x:c>
      <x:c r="B1327" t="str">
        <x:v>2024-06</x:v>
      </x:c>
      <x:c r="C1327" t="str">
        <x:v>Sports</x:v>
      </x:c>
      <x:c r="D1327" t="str">
        <x:v>Convenience</x:v>
      </x:c>
      <x:c r="E1327" t="str">
        <x:v>QLD</x:v>
      </x:c>
      <x:c r="F1327" s="11" t="n">
        <x:v>60966.96</x:v>
      </x:c>
      <x:c r="G1327" s="13" t="n">
        <x:v>11568</x:v>
      </x:c>
      <x:c r="H1327" s="11" t="n">
        <x:v>33050.27</x:v>
      </x:c>
      <x:c r="I1327" s="11" t="n">
        <x:v>60406.88</x:v>
      </x:c>
    </x:row>
    <x:row r="1328">
      <x:c r="A1328" t="n">
        <x:v>2024</x:v>
      </x:c>
      <x:c r="B1328" t="str">
        <x:v>2024-06</x:v>
      </x:c>
      <x:c r="C1328" t="str">
        <x:v>Sports</x:v>
      </x:c>
      <x:c r="D1328" t="str">
        <x:v>Convenience</x:v>
      </x:c>
      <x:c r="E1328" t="str">
        <x:v>VIC</x:v>
      </x:c>
      <x:c r="F1328" s="11" t="n">
        <x:v>59863.67</x:v>
      </x:c>
      <x:c r="G1328" s="13" t="n">
        <x:v>11535</x:v>
      </x:c>
      <x:c r="H1328" s="11" t="n">
        <x:v>32277.47</x:v>
      </x:c>
      <x:c r="I1328" s="11" t="n">
        <x:v>58566.98</x:v>
      </x:c>
    </x:row>
    <x:row r="1329">
      <x:c r="A1329" t="n">
        <x:v>2024</x:v>
      </x:c>
      <x:c r="B1329" t="str">
        <x:v>2024-06</x:v>
      </x:c>
      <x:c r="C1329" t="str">
        <x:v>Sports</x:v>
      </x:c>
      <x:c r="D1329" t="str">
        <x:v>Grocery</x:v>
      </x:c>
      <x:c r="E1329" t="str">
        <x:v>NSW</x:v>
      </x:c>
      <x:c r="F1329" s="11" t="n">
        <x:v>163661.33</x:v>
      </x:c>
      <x:c r="G1329" s="13" t="n">
        <x:v>38164</x:v>
      </x:c>
      <x:c r="H1329" s="11" t="n">
        <x:v>71503.21</x:v>
      </x:c>
      <x:c r="I1329" s="11" t="n">
        <x:v>155929.76</x:v>
      </x:c>
    </x:row>
    <x:row r="1330">
      <x:c r="A1330" t="n">
        <x:v>2024</x:v>
      </x:c>
      <x:c r="B1330" t="str">
        <x:v>2024-06</x:v>
      </x:c>
      <x:c r="C1330" t="str">
        <x:v>Sports</x:v>
      </x:c>
      <x:c r="D1330" t="str">
        <x:v>Grocery</x:v>
      </x:c>
      <x:c r="E1330" t="str">
        <x:v>QLD</x:v>
      </x:c>
      <x:c r="F1330" s="11" t="n">
        <x:v>157008.28</x:v>
      </x:c>
      <x:c r="G1330" s="13" t="n">
        <x:v>37161</x:v>
      </x:c>
      <x:c r="H1330" s="11" t="n">
        <x:v>68646.94</x:v>
      </x:c>
      <x:c r="I1330" s="11" t="n">
        <x:v>149949.29</x:v>
      </x:c>
    </x:row>
    <x:row r="1331">
      <x:c r="A1331" t="n">
        <x:v>2024</x:v>
      </x:c>
      <x:c r="B1331" t="str">
        <x:v>2024-06</x:v>
      </x:c>
      <x:c r="C1331" t="str">
        <x:v>Sports</x:v>
      </x:c>
      <x:c r="D1331" t="str">
        <x:v>Grocery</x:v>
      </x:c>
      <x:c r="E1331" t="str">
        <x:v>VIC</x:v>
      </x:c>
      <x:c r="F1331" s="11" t="n">
        <x:v>152580.79</x:v>
      </x:c>
      <x:c r="G1331" s="13" t="n">
        <x:v>35822</x:v>
      </x:c>
      <x:c r="H1331" s="11" t="n">
        <x:v>66197.1</x:v>
      </x:c>
      <x:c r="I1331" s="11" t="n">
        <x:v>145452.72</x:v>
      </x:c>
    </x:row>
    <x:row r="1332">
      <x:c r="A1332" t="n">
        <x:v>2024</x:v>
      </x:c>
      <x:c r="B1332" t="str">
        <x:v>2024-06</x:v>
      </x:c>
      <x:c r="C1332" t="str">
        <x:v>Sports</x:v>
      </x:c>
      <x:c r="D1332" t="str">
        <x:v>Hospitality</x:v>
      </x:c>
      <x:c r="E1332" t="str">
        <x:v>NSW</x:v>
      </x:c>
      <x:c r="F1332" s="11" t="n">
        <x:v>20565.42</x:v>
      </x:c>
      <x:c r="G1332" s="13" t="n">
        <x:v>5250</x:v>
      </x:c>
      <x:c r="H1332" s="11" t="n">
        <x:v>7974.7</x:v>
      </x:c>
      <x:c r="I1332" s="11" t="n">
        <x:v>19506.19</x:v>
      </x:c>
    </x:row>
    <x:row r="1333">
      <x:c r="A1333" t="n">
        <x:v>2024</x:v>
      </x:c>
      <x:c r="B1333" t="str">
        <x:v>2024-06</x:v>
      </x:c>
      <x:c r="C1333" t="str">
        <x:v>Sports</x:v>
      </x:c>
      <x:c r="D1333" t="str">
        <x:v>Hospitality</x:v>
      </x:c>
      <x:c r="E1333" t="str">
        <x:v>QLD</x:v>
      </x:c>
      <x:c r="F1333" s="11" t="n">
        <x:v>19861.86</x:v>
      </x:c>
      <x:c r="G1333" s="13" t="n">
        <x:v>4955</x:v>
      </x:c>
      <x:c r="H1333" s="11" t="n">
        <x:v>8046.24</x:v>
      </x:c>
      <x:c r="I1333" s="11" t="n">
        <x:v>18765.649999999998</x:v>
      </x:c>
    </x:row>
    <x:row r="1334">
      <x:c r="A1334" t="n">
        <x:v>2024</x:v>
      </x:c>
      <x:c r="B1334" t="str">
        <x:v>2024-06</x:v>
      </x:c>
      <x:c r="C1334" t="str">
        <x:v>Sports</x:v>
      </x:c>
      <x:c r="D1334" t="str">
        <x:v>Hospitality</x:v>
      </x:c>
      <x:c r="E1334" t="str">
        <x:v>VIC</x:v>
      </x:c>
      <x:c r="F1334" s="11" t="n">
        <x:v>19383.21</x:v>
      </x:c>
      <x:c r="G1334" s="13" t="n">
        <x:v>4926</x:v>
      </x:c>
      <x:c r="H1334" s="11" t="n">
        <x:v>7593.57</x:v>
      </x:c>
      <x:c r="I1334" s="11" t="n">
        <x:v>18192.63</x:v>
      </x:c>
    </x:row>
    <x:row r="1335">
      <x:c r="A1335" t="n">
        <x:v>2024</x:v>
      </x:c>
      <x:c r="B1335" t="str">
        <x:v>2024-06</x:v>
      </x:c>
      <x:c r="C1335" t="str">
        <x:v>Sports</x:v>
      </x:c>
      <x:c r="D1335" t="str">
        <x:v>Independent retail</x:v>
      </x:c>
      <x:c r="E1335" t="str">
        <x:v>NSW</x:v>
      </x:c>
      <x:c r="F1335" s="11" t="n">
        <x:v>55452.53</x:v>
      </x:c>
      <x:c r="G1335" s="13" t="n">
        <x:v>12037</x:v>
      </x:c>
      <x:c r="H1335" s="11" t="n">
        <x:v>26630.59</x:v>
      </x:c>
      <x:c r="I1335" s="11" t="n">
        <x:v>52985.61</x:v>
      </x:c>
    </x:row>
    <x:row r="1336">
      <x:c r="A1336" t="n">
        <x:v>2024</x:v>
      </x:c>
      <x:c r="B1336" t="str">
        <x:v>2024-06</x:v>
      </x:c>
      <x:c r="C1336" t="str">
        <x:v>Sports</x:v>
      </x:c>
      <x:c r="D1336" t="str">
        <x:v>Independent retail</x:v>
      </x:c>
      <x:c r="E1336" t="str">
        <x:v>QLD</x:v>
      </x:c>
      <x:c r="F1336" s="11" t="n">
        <x:v>53259.32</x:v>
      </x:c>
      <x:c r="G1336" s="13" t="n">
        <x:v>11352</x:v>
      </x:c>
      <x:c r="H1336" s="11" t="n">
        <x:v>25413.13</x:v>
      </x:c>
      <x:c r="I1336" s="11" t="n">
        <x:v>50950.36</x:v>
      </x:c>
    </x:row>
    <x:row r="1337">
      <x:c r="A1337" t="n">
        <x:v>2024</x:v>
      </x:c>
      <x:c r="B1337" t="str">
        <x:v>2024-06</x:v>
      </x:c>
      <x:c r="C1337" t="str">
        <x:v>Sports</x:v>
      </x:c>
      <x:c r="D1337" t="str">
        <x:v>Independent retail</x:v>
      </x:c>
      <x:c r="E1337" t="str">
        <x:v>VIC</x:v>
      </x:c>
      <x:c r="F1337" s="11" t="n">
        <x:v>50741.94</x:v>
      </x:c>
      <x:c r="G1337" s="13" t="n">
        <x:v>10768</x:v>
      </x:c>
      <x:c r="H1337" s="11" t="n">
        <x:v>24598.27</x:v>
      </x:c>
      <x:c r="I1337" s="11" t="n">
        <x:v>49439.22</x:v>
      </x:c>
    </x:row>
    <x:row r="1338">
      <x:c r="A1338" t="n">
        <x:v>2024</x:v>
      </x:c>
      <x:c r="B1338" t="str">
        <x:v>2024-06</x:v>
      </x:c>
      <x:c r="C1338" t="str">
        <x:v>Sports</x:v>
      </x:c>
      <x:c r="D1338" t="str">
        <x:v>Petrol</x:v>
      </x:c>
      <x:c r="E1338" t="str">
        <x:v>NSW</x:v>
      </x:c>
      <x:c r="F1338" s="11" t="n">
        <x:v>59314.83</x:v>
      </x:c>
      <x:c r="G1338" s="13" t="n">
        <x:v>11780</x:v>
      </x:c>
      <x:c r="H1338" s="11" t="n">
        <x:v>30827.56</x:v>
      </x:c>
      <x:c r="I1338" s="11" t="n">
        <x:v>57490.96</x:v>
      </x:c>
    </x:row>
    <x:row r="1339">
      <x:c r="A1339" t="n">
        <x:v>2024</x:v>
      </x:c>
      <x:c r="B1339" t="str">
        <x:v>2024-06</x:v>
      </x:c>
      <x:c r="C1339" t="str">
        <x:v>Sports</x:v>
      </x:c>
      <x:c r="D1339" t="str">
        <x:v>Petrol</x:v>
      </x:c>
      <x:c r="E1339" t="str">
        <x:v>QLD</x:v>
      </x:c>
      <x:c r="F1339" s="11" t="n">
        <x:v>58254.97</x:v>
      </x:c>
      <x:c r="G1339" s="13" t="n">
        <x:v>12048</x:v>
      </x:c>
      <x:c r="H1339" s="11" t="n">
        <x:v>29026.81</x:v>
      </x:c>
      <x:c r="I1339" s="11" t="n">
        <x:v>55245.33</x:v>
      </x:c>
    </x:row>
    <x:row r="1340">
      <x:c r="A1340" t="n">
        <x:v>2024</x:v>
      </x:c>
      <x:c r="B1340" t="str">
        <x:v>2024-06</x:v>
      </x:c>
      <x:c r="C1340" t="str">
        <x:v>Sports</x:v>
      </x:c>
      <x:c r="D1340" t="str">
        <x:v>Petrol</x:v>
      </x:c>
      <x:c r="E1340" t="str">
        <x:v>VIC</x:v>
      </x:c>
      <x:c r="F1340" s="11" t="n">
        <x:v>57332.31</x:v>
      </x:c>
      <x:c r="G1340" s="13" t="n">
        <x:v>11611</x:v>
      </x:c>
      <x:c r="H1340" s="11" t="n">
        <x:v>29067.69</x:v>
      </x:c>
      <x:c r="I1340" s="11" t="n">
        <x:v>53596.21</x:v>
      </x:c>
    </x:row>
    <x:row r="1341">
      <x:c r="A1341" t="n">
        <x:v>2024</x:v>
      </x:c>
      <x:c r="B1341" t="str">
        <x:v>2024-06</x:v>
      </x:c>
      <x:c r="C1341" t="str">
        <x:v>Water</x:v>
      </x:c>
      <x:c r="D1341" t="str">
        <x:v>Convenience</x:v>
      </x:c>
      <x:c r="E1341" t="str">
        <x:v>NSW</x:v>
      </x:c>
      <x:c r="F1341" s="11" t="n">
        <x:v>74287.64</x:v>
      </x:c>
      <x:c r="G1341" s="13" t="n">
        <x:v>22732</x:v>
      </x:c>
      <x:c r="H1341" s="11" t="n">
        <x:v>35868.32</x:v>
      </x:c>
      <x:c r="I1341" s="11" t="n">
        <x:v>74847.86</x:v>
      </x:c>
    </x:row>
    <x:row r="1342">
      <x:c r="A1342" t="n">
        <x:v>2024</x:v>
      </x:c>
      <x:c r="B1342" t="str">
        <x:v>2024-06</x:v>
      </x:c>
      <x:c r="C1342" t="str">
        <x:v>Water</x:v>
      </x:c>
      <x:c r="D1342" t="str">
        <x:v>Convenience</x:v>
      </x:c>
      <x:c r="E1342" t="str">
        <x:v>QLD</x:v>
      </x:c>
      <x:c r="F1342" s="11" t="n">
        <x:v>72342.86</x:v>
      </x:c>
      <x:c r="G1342" s="13" t="n">
        <x:v>23086</x:v>
      </x:c>
      <x:c r="H1342" s="11" t="n">
        <x:v>33903.85</x:v>
      </x:c>
      <x:c r="I1342" s="11" t="n">
        <x:v>71972.53</x:v>
      </x:c>
    </x:row>
    <x:row r="1343">
      <x:c r="A1343" t="n">
        <x:v>2024</x:v>
      </x:c>
      <x:c r="B1343" t="str">
        <x:v>2024-06</x:v>
      </x:c>
      <x:c r="C1343" t="str">
        <x:v>Water</x:v>
      </x:c>
      <x:c r="D1343" t="str">
        <x:v>Convenience</x:v>
      </x:c>
      <x:c r="E1343" t="str">
        <x:v>VIC</x:v>
      </x:c>
      <x:c r="F1343" s="11" t="n">
        <x:v>68377.61</x:v>
      </x:c>
      <x:c r="G1343" s="13" t="n">
        <x:v>21506</x:v>
      </x:c>
      <x:c r="H1343" s="11" t="n">
        <x:v>32404.96</x:v>
      </x:c>
      <x:c r="I1343" s="11" t="n">
        <x:v>69802.92</x:v>
      </x:c>
    </x:row>
    <x:row r="1344">
      <x:c r="A1344" t="n">
        <x:v>2024</x:v>
      </x:c>
      <x:c r="B1344" t="str">
        <x:v>2024-06</x:v>
      </x:c>
      <x:c r="C1344" t="str">
        <x:v>Water</x:v>
      </x:c>
      <x:c r="D1344" t="str">
        <x:v>Grocery</x:v>
      </x:c>
      <x:c r="E1344" t="str">
        <x:v>NSW</x:v>
      </x:c>
      <x:c r="F1344" s="11" t="n">
        <x:v>181990.35</x:v>
      </x:c>
      <x:c r="G1344" s="13" t="n">
        <x:v>65100</x:v>
      </x:c>
      <x:c r="H1344" s="11" t="n">
        <x:v>74999.13</x:v>
      </x:c>
      <x:c r="I1344" s="11" t="n">
        <x:v>186571.24</x:v>
      </x:c>
    </x:row>
    <x:row r="1345">
      <x:c r="A1345" t="n">
        <x:v>2024</x:v>
      </x:c>
      <x:c r="B1345" t="str">
        <x:v>2024-06</x:v>
      </x:c>
      <x:c r="C1345" t="str">
        <x:v>Water</x:v>
      </x:c>
      <x:c r="D1345" t="str">
        <x:v>Grocery</x:v>
      </x:c>
      <x:c r="E1345" t="str">
        <x:v>QLD</x:v>
      </x:c>
      <x:c r="F1345" s="11" t="n">
        <x:v>182949</x:v>
      </x:c>
      <x:c r="G1345" s="13" t="n">
        <x:v>64558</x:v>
      </x:c>
      <x:c r="H1345" s="11" t="n">
        <x:v>75272.8</x:v>
      </x:c>
      <x:c r="I1345" s="11" t="n">
        <x:v>179399.26</x:v>
      </x:c>
    </x:row>
    <x:row r="1346">
      <x:c r="A1346" t="n">
        <x:v>2024</x:v>
      </x:c>
      <x:c r="B1346" t="str">
        <x:v>2024-06</x:v>
      </x:c>
      <x:c r="C1346" t="str">
        <x:v>Water</x:v>
      </x:c>
      <x:c r="D1346" t="str">
        <x:v>Grocery</x:v>
      </x:c>
      <x:c r="E1346" t="str">
        <x:v>VIC</x:v>
      </x:c>
      <x:c r="F1346" s="11" t="n">
        <x:v>178661.41</x:v>
      </x:c>
      <x:c r="G1346" s="13" t="n">
        <x:v>62870</x:v>
      </x:c>
      <x:c r="H1346" s="11" t="n">
        <x:v>74611.92</x:v>
      </x:c>
      <x:c r="I1346" s="11" t="n">
        <x:v>174004.8</x:v>
      </x:c>
    </x:row>
    <x:row r="1347">
      <x:c r="A1347" t="n">
        <x:v>2024</x:v>
      </x:c>
      <x:c r="B1347" t="str">
        <x:v>2024-06</x:v>
      </x:c>
      <x:c r="C1347" t="str">
        <x:v>Water</x:v>
      </x:c>
      <x:c r="D1347" t="str">
        <x:v>Hospitality</x:v>
      </x:c>
      <x:c r="E1347" t="str">
        <x:v>NSW</x:v>
      </x:c>
      <x:c r="F1347" s="11" t="n">
        <x:v>23949.71</x:v>
      </x:c>
      <x:c r="G1347" s="13" t="n">
        <x:v>9043</x:v>
      </x:c>
      <x:c r="H1347" s="11" t="n">
        <x:v>8821.79</x:v>
      </x:c>
      <x:c r="I1347" s="11" t="n">
        <x:v>23366.29</x:v>
      </x:c>
    </x:row>
    <x:row r="1348">
      <x:c r="A1348" t="n">
        <x:v>2024</x:v>
      </x:c>
      <x:c r="B1348" t="str">
        <x:v>2024-06</x:v>
      </x:c>
      <x:c r="C1348" t="str">
        <x:v>Water</x:v>
      </x:c>
      <x:c r="D1348" t="str">
        <x:v>Hospitality</x:v>
      </x:c>
      <x:c r="E1348" t="str">
        <x:v>QLD</x:v>
      </x:c>
      <x:c r="F1348" s="11" t="n">
        <x:v>22899.1</x:v>
      </x:c>
      <x:c r="G1348" s="13" t="n">
        <x:v>8978</x:v>
      </x:c>
      <x:c r="H1348" s="11" t="n">
        <x:v>7930.93</x:v>
      </x:c>
      <x:c r="I1348" s="11" t="n">
        <x:v>22462.34</x:v>
      </x:c>
    </x:row>
    <x:row r="1349">
      <x:c r="A1349" t="n">
        <x:v>2024</x:v>
      </x:c>
      <x:c r="B1349" t="str">
        <x:v>2024-06</x:v>
      </x:c>
      <x:c r="C1349" t="str">
        <x:v>Water</x:v>
      </x:c>
      <x:c r="D1349" t="str">
        <x:v>Hospitality</x:v>
      </x:c>
      <x:c r="E1349" t="str">
        <x:v>VIC</x:v>
      </x:c>
      <x:c r="F1349" s="11" t="n">
        <x:v>22468.91</x:v>
      </x:c>
      <x:c r="G1349" s="13" t="n">
        <x:v>8549</x:v>
      </x:c>
      <x:c r="H1349" s="11" t="n">
        <x:v>8109.97</x:v>
      </x:c>
      <x:c r="I1349" s="11" t="n">
        <x:v>21786.46</x:v>
      </x:c>
    </x:row>
    <x:row r="1350">
      <x:c r="A1350" t="n">
        <x:v>2024</x:v>
      </x:c>
      <x:c r="B1350" t="str">
        <x:v>2024-06</x:v>
      </x:c>
      <x:c r="C1350" t="str">
        <x:v>Water</x:v>
      </x:c>
      <x:c r="D1350" t="str">
        <x:v>Independent retail</x:v>
      </x:c>
      <x:c r="E1350" t="str">
        <x:v>NSW</x:v>
      </x:c>
      <x:c r="F1350" s="11" t="n">
        <x:v>64079.05</x:v>
      </x:c>
      <x:c r="G1350" s="13" t="n">
        <x:v>22605</x:v>
      </x:c>
      <x:c r="H1350" s="11" t="n">
        <x:v>26251.57</x:v>
      </x:c>
      <x:c r="I1350" s="11" t="n">
        <x:v>63499.16</x:v>
      </x:c>
    </x:row>
    <x:row r="1351">
      <x:c r="A1351" t="n">
        <x:v>2024</x:v>
      </x:c>
      <x:c r="B1351" t="str">
        <x:v>2024-06</x:v>
      </x:c>
      <x:c r="C1351" t="str">
        <x:v>Water</x:v>
      </x:c>
      <x:c r="D1351" t="str">
        <x:v>Independent retail</x:v>
      </x:c>
      <x:c r="E1351" t="str">
        <x:v>QLD</x:v>
      </x:c>
      <x:c r="F1351" s="11" t="n">
        <x:v>60539.8</x:v>
      </x:c>
      <x:c r="G1351" s="13" t="n">
        <x:v>22187</x:v>
      </x:c>
      <x:c r="H1351" s="11" t="n">
        <x:v>24533.35</x:v>
      </x:c>
      <x:c r="I1351" s="11" t="n">
        <x:v>61062.7</x:v>
      </x:c>
    </x:row>
    <x:row r="1352">
      <x:c r="A1352" t="n">
        <x:v>2024</x:v>
      </x:c>
      <x:c r="B1352" t="str">
        <x:v>2024-06</x:v>
      </x:c>
      <x:c r="C1352" t="str">
        <x:v>Water</x:v>
      </x:c>
      <x:c r="D1352" t="str">
        <x:v>Independent retail</x:v>
      </x:c>
      <x:c r="E1352" t="str">
        <x:v>VIC</x:v>
      </x:c>
      <x:c r="F1352" s="11" t="n">
        <x:v>58750.84</x:v>
      </x:c>
      <x:c r="G1352" s="13" t="n">
        <x:v>21284</x:v>
      </x:c>
      <x:c r="H1352" s="11" t="n">
        <x:v>23628.72</x:v>
      </x:c>
      <x:c r="I1352" s="11" t="n">
        <x:v>59227.86</x:v>
      </x:c>
    </x:row>
    <x:row r="1353">
      <x:c r="A1353" t="n">
        <x:v>2024</x:v>
      </x:c>
      <x:c r="B1353" t="str">
        <x:v>2024-06</x:v>
      </x:c>
      <x:c r="C1353" t="str">
        <x:v>Water</x:v>
      </x:c>
      <x:c r="D1353" t="str">
        <x:v>Petrol</x:v>
      </x:c>
      <x:c r="E1353" t="str">
        <x:v>NSW</x:v>
      </x:c>
      <x:c r="F1353" s="11" t="n">
        <x:v>69424.65</x:v>
      </x:c>
      <x:c r="G1353" s="13" t="n">
        <x:v>22851</x:v>
      </x:c>
      <x:c r="H1353" s="11" t="n">
        <x:v>31591.04</x:v>
      </x:c>
      <x:c r="I1353" s="11" t="n">
        <x:v>68287.19</x:v>
      </x:c>
    </x:row>
    <x:row r="1354">
      <x:c r="A1354" t="n">
        <x:v>2024</x:v>
      </x:c>
      <x:c r="B1354" t="str">
        <x:v>2024-06</x:v>
      </x:c>
      <x:c r="C1354" t="str">
        <x:v>Water</x:v>
      </x:c>
      <x:c r="D1354" t="str">
        <x:v>Petrol</x:v>
      </x:c>
      <x:c r="E1354" t="str">
        <x:v>QLD</x:v>
      </x:c>
      <x:c r="F1354" s="11" t="n">
        <x:v>66020.07</x:v>
      </x:c>
      <x:c r="G1354" s="13" t="n">
        <x:v>21094</x:v>
      </x:c>
      <x:c r="H1354" s="11" t="n">
        <x:v>31370.89</x:v>
      </x:c>
      <x:c r="I1354" s="11" t="n">
        <x:v>65673.89</x:v>
      </x:c>
    </x:row>
    <x:row r="1355">
      <x:c r="A1355" t="n">
        <x:v>2024</x:v>
      </x:c>
      <x:c r="B1355" t="str">
        <x:v>2024-06</x:v>
      </x:c>
      <x:c r="C1355" t="str">
        <x:v>Water</x:v>
      </x:c>
      <x:c r="D1355" t="str">
        <x:v>Petrol</x:v>
      </x:c>
      <x:c r="E1355" t="str">
        <x:v>VIC</x:v>
      </x:c>
      <x:c r="F1355" s="11" t="n">
        <x:v>63126.2</x:v>
      </x:c>
      <x:c r="G1355" s="13" t="n">
        <x:v>20750</x:v>
      </x:c>
      <x:c r="H1355" s="11" t="n">
        <x:v>29311.86</x:v>
      </x:c>
      <x:c r="I1355" s="11" t="n">
        <x:v>63713.76</x:v>
      </x:c>
    </x:row>
    <x:row r="1356">
      <x:c r="A1356" t="n">
        <x:v>2024</x:v>
      </x:c>
      <x:c r="B1356" t="str">
        <x:v>2024-07</x:v>
      </x:c>
      <x:c r="C1356" t="str">
        <x:v>Coffee</x:v>
      </x:c>
      <x:c r="D1356" t="str">
        <x:v>Convenience</x:v>
      </x:c>
      <x:c r="E1356" t="str">
        <x:v>NSW</x:v>
      </x:c>
      <x:c r="F1356" s="11" t="n">
        <x:v>22788.45</x:v>
      </x:c>
      <x:c r="G1356" s="13" t="n">
        <x:v>3906</x:v>
      </x:c>
      <x:c r="H1356" s="11" t="n">
        <x:v>9935.29</x:v>
      </x:c>
      <x:c r="I1356" s="11" t="n">
        <x:v>31839.93</x:v>
      </x:c>
    </x:row>
    <x:row r="1357">
      <x:c r="A1357" t="n">
        <x:v>2024</x:v>
      </x:c>
      <x:c r="B1357" t="str">
        <x:v>2024-07</x:v>
      </x:c>
      <x:c r="C1357" t="str">
        <x:v>Coffee</x:v>
      </x:c>
      <x:c r="D1357" t="str">
        <x:v>Convenience</x:v>
      </x:c>
      <x:c r="E1357" t="str">
        <x:v>QLD</x:v>
      </x:c>
      <x:c r="F1357" s="11" t="n">
        <x:v>22108.170000000002</x:v>
      </x:c>
      <x:c r="G1357" s="13" t="n">
        <x:v>3686</x:v>
      </x:c>
      <x:c r="H1357" s="11" t="n">
        <x:v>9920.3</x:v>
      </x:c>
      <x:c r="I1357" s="11" t="n">
        <x:v>30660.86</x:v>
      </x:c>
    </x:row>
    <x:row r="1358">
      <x:c r="A1358" t="n">
        <x:v>2024</x:v>
      </x:c>
      <x:c r="B1358" t="str">
        <x:v>2024-07</x:v>
      </x:c>
      <x:c r="C1358" t="str">
        <x:v>Coffee</x:v>
      </x:c>
      <x:c r="D1358" t="str">
        <x:v>Convenience</x:v>
      </x:c>
      <x:c r="E1358" t="str">
        <x:v>VIC</x:v>
      </x:c>
      <x:c r="F1358" s="11" t="n">
        <x:v>21135.48</x:v>
      </x:c>
      <x:c r="G1358" s="13" t="n">
        <x:v>3569</x:v>
      </x:c>
      <x:c r="H1358" s="11" t="n">
        <x:v>9410.11</x:v>
      </x:c>
      <x:c r="I1358" s="11" t="n">
        <x:v>29675.8</x:v>
      </x:c>
    </x:row>
    <x:row r="1359">
      <x:c r="A1359" t="n">
        <x:v>2024</x:v>
      </x:c>
      <x:c r="B1359" t="str">
        <x:v>2024-07</x:v>
      </x:c>
      <x:c r="C1359" t="str">
        <x:v>Coffee</x:v>
      </x:c>
      <x:c r="D1359" t="str">
        <x:v>Grocery</x:v>
      </x:c>
      <x:c r="E1359" t="str">
        <x:v>NSW</x:v>
      </x:c>
      <x:c r="F1359" s="11" t="n">
        <x:v>54607.13</x:v>
      </x:c>
      <x:c r="G1359" s="13" t="n">
        <x:v>11193</x:v>
      </x:c>
      <x:c r="H1359" s="11" t="n">
        <x:v>17780.93</x:v>
      </x:c>
      <x:c r="I1359" s="11" t="n">
        <x:v>79022.97</x:v>
      </x:c>
    </x:row>
    <x:row r="1360">
      <x:c r="A1360" t="n">
        <x:v>2024</x:v>
      </x:c>
      <x:c r="B1360" t="str">
        <x:v>2024-07</x:v>
      </x:c>
      <x:c r="C1360" t="str">
        <x:v>Coffee</x:v>
      </x:c>
      <x:c r="D1360" t="str">
        <x:v>Grocery</x:v>
      </x:c>
      <x:c r="E1360" t="str">
        <x:v>QLD</x:v>
      </x:c>
      <x:c r="F1360" s="11" t="n">
        <x:v>54744.01</x:v>
      </x:c>
      <x:c r="G1360" s="13" t="n">
        <x:v>11233</x:v>
      </x:c>
      <x:c r="H1360" s="11" t="n">
        <x:v>17971.47</x:v>
      </x:c>
      <x:c r="I1360" s="11" t="n">
        <x:v>76040.29</x:v>
      </x:c>
    </x:row>
    <x:row r="1361">
      <x:c r="A1361" t="n">
        <x:v>2024</x:v>
      </x:c>
      <x:c r="B1361" t="str">
        <x:v>2024-07</x:v>
      </x:c>
      <x:c r="C1361" t="str">
        <x:v>Coffee</x:v>
      </x:c>
      <x:c r="D1361" t="str">
        <x:v>Grocery</x:v>
      </x:c>
      <x:c r="E1361" t="str">
        <x:v>VIC</x:v>
      </x:c>
      <x:c r="F1361" s="11" t="n">
        <x:v>51973.3</x:v>
      </x:c>
      <x:c r="G1361" s="13" t="n">
        <x:v>10663</x:v>
      </x:c>
      <x:c r="H1361" s="11" t="n">
        <x:v>16865.3</x:v>
      </x:c>
      <x:c r="I1361" s="11" t="n">
        <x:v>73725.19</x:v>
      </x:c>
    </x:row>
    <x:row r="1362">
      <x:c r="A1362" t="n">
        <x:v>2024</x:v>
      </x:c>
      <x:c r="B1362" t="str">
        <x:v>2024-07</x:v>
      </x:c>
      <x:c r="C1362" t="str">
        <x:v>Coffee</x:v>
      </x:c>
      <x:c r="D1362" t="str">
        <x:v>Hospitality</x:v>
      </x:c>
      <x:c r="E1362" t="str">
        <x:v>NSW</x:v>
      </x:c>
      <x:c r="F1362" s="11" t="n">
        <x:v>7075.64</x:v>
      </x:c>
      <x:c r="G1362" s="13" t="n">
        <x:v>1595</x:v>
      </x:c>
      <x:c r="H1362" s="11" t="n">
        <x:v>1879.22</x:v>
      </x:c>
      <x:c r="I1362" s="11" t="n">
        <x:v>9973.31</x:v>
      </x:c>
    </x:row>
    <x:row r="1363">
      <x:c r="A1363" t="n">
        <x:v>2024</x:v>
      </x:c>
      <x:c r="B1363" t="str">
        <x:v>2024-07</x:v>
      </x:c>
      <x:c r="C1363" t="str">
        <x:v>Coffee</x:v>
      </x:c>
      <x:c r="D1363" t="str">
        <x:v>Hospitality</x:v>
      </x:c>
      <x:c r="E1363" t="str">
        <x:v>QLD</x:v>
      </x:c>
      <x:c r="F1363" s="11" t="n">
        <x:v>6718.34</x:v>
      </x:c>
      <x:c r="G1363" s="13" t="n">
        <x:v>1459</x:v>
      </x:c>
      <x:c r="H1363" s="11" t="n">
        <x:v>1936.3700000000001</x:v>
      </x:c>
      <x:c r="I1363" s="11" t="n">
        <x:v>9489.91</x:v>
      </x:c>
    </x:row>
    <x:row r="1364">
      <x:c r="A1364" t="n">
        <x:v>2024</x:v>
      </x:c>
      <x:c r="B1364" t="str">
        <x:v>2024-07</x:v>
      </x:c>
      <x:c r="C1364" t="str">
        <x:v>Coffee</x:v>
      </x:c>
      <x:c r="D1364" t="str">
        <x:v>Hospitality</x:v>
      </x:c>
      <x:c r="E1364" t="str">
        <x:v>VIC</x:v>
      </x:c>
      <x:c r="F1364" s="11" t="n">
        <x:v>6672.54</x:v>
      </x:c>
      <x:c r="G1364" s="13" t="n">
        <x:v>1464</x:v>
      </x:c>
      <x:c r="H1364" s="11" t="n">
        <x:v>1829.23</x:v>
      </x:c>
      <x:c r="I1364" s="11" t="n">
        <x:v>9374.58</x:v>
      </x:c>
    </x:row>
    <x:row r="1365">
      <x:c r="A1365" t="n">
        <x:v>2024</x:v>
      </x:c>
      <x:c r="B1365" t="str">
        <x:v>2024-07</x:v>
      </x:c>
      <x:c r="C1365" t="str">
        <x:v>Coffee</x:v>
      </x:c>
      <x:c r="D1365" t="str">
        <x:v>Independent retail</x:v>
      </x:c>
      <x:c r="E1365" t="str">
        <x:v>NSW</x:v>
      </x:c>
      <x:c r="F1365" s="11" t="n">
        <x:v>19736.34</x:v>
      </x:c>
      <x:c r="G1365" s="13" t="n">
        <x:v>3775</x:v>
      </x:c>
      <x:c r="H1365" s="11" t="n">
        <x:v>7402.42</x:v>
      </x:c>
      <x:c r="I1365" s="11" t="n">
        <x:v>26829.54</x:v>
      </x:c>
    </x:row>
    <x:row r="1366">
      <x:c r="A1366" t="n">
        <x:v>2024</x:v>
      </x:c>
      <x:c r="B1366" t="str">
        <x:v>2024-07</x:v>
      </x:c>
      <x:c r="C1366" t="str">
        <x:v>Coffee</x:v>
      </x:c>
      <x:c r="D1366" t="str">
        <x:v>Independent retail</x:v>
      </x:c>
      <x:c r="E1366" t="str">
        <x:v>QLD</x:v>
      </x:c>
      <x:c r="F1366" s="11" t="n">
        <x:v>18793.52</x:v>
      </x:c>
      <x:c r="G1366" s="13" t="n">
        <x:v>3597</x:v>
      </x:c>
      <x:c r="H1366" s="11" t="n">
        <x:v>6930.79</x:v>
      </x:c>
      <x:c r="I1366" s="11" t="n">
        <x:v>25811.76</x:v>
      </x:c>
    </x:row>
    <x:row r="1367">
      <x:c r="A1367" t="n">
        <x:v>2024</x:v>
      </x:c>
      <x:c r="B1367" t="str">
        <x:v>2024-07</x:v>
      </x:c>
      <x:c r="C1367" t="str">
        <x:v>Coffee</x:v>
      </x:c>
      <x:c r="D1367" t="str">
        <x:v>Independent retail</x:v>
      </x:c>
      <x:c r="E1367" t="str">
        <x:v>VIC</x:v>
      </x:c>
      <x:c r="F1367" s="11" t="n">
        <x:v>17867.59</x:v>
      </x:c>
      <x:c r="G1367" s="13" t="n">
        <x:v>3335</x:v>
      </x:c>
      <x:c r="H1367" s="11" t="n">
        <x:v>6778.48</x:v>
      </x:c>
      <x:c r="I1367" s="11" t="n">
        <x:v>24938.92</x:v>
      </x:c>
    </x:row>
    <x:row r="1368">
      <x:c r="A1368" t="n">
        <x:v>2024</x:v>
      </x:c>
      <x:c r="B1368" t="str">
        <x:v>2024-07</x:v>
      </x:c>
      <x:c r="C1368" t="str">
        <x:v>Coffee</x:v>
      </x:c>
      <x:c r="D1368" t="str">
        <x:v>Petrol</x:v>
      </x:c>
      <x:c r="E1368" t="str">
        <x:v>NSW</x:v>
      </x:c>
      <x:c r="F1368" s="11" t="n">
        <x:v>20865.96</x:v>
      </x:c>
      <x:c r="G1368" s="13" t="n">
        <x:v>3684</x:v>
      </x:c>
      <x:c r="H1368" s="11" t="n">
        <x:v>8761.87</x:v>
      </x:c>
      <x:c r="I1368" s="11" t="n">
        <x:v>29012.75</x:v>
      </x:c>
    </x:row>
    <x:row r="1369">
      <x:c r="A1369" t="n">
        <x:v>2024</x:v>
      </x:c>
      <x:c r="B1369" t="str">
        <x:v>2024-07</x:v>
      </x:c>
      <x:c r="C1369" t="str">
        <x:v>Coffee</x:v>
      </x:c>
      <x:c r="D1369" t="str">
        <x:v>Petrol</x:v>
      </x:c>
      <x:c r="E1369" t="str">
        <x:v>QLD</x:v>
      </x:c>
      <x:c r="F1369" s="11" t="n">
        <x:v>19130.71</x:v>
      </x:c>
      <x:c r="G1369" s="13" t="n">
        <x:v>3480</x:v>
      </x:c>
      <x:c r="H1369" s="11" t="n">
        <x:v>7686.22</x:v>
      </x:c>
      <x:c r="I1369" s="11" t="n">
        <x:v>27832.18</x:v>
      </x:c>
    </x:row>
    <x:row r="1370">
      <x:c r="A1370" t="n">
        <x:v>2024</x:v>
      </x:c>
      <x:c r="B1370" t="str">
        <x:v>2024-07</x:v>
      </x:c>
      <x:c r="C1370" t="str">
        <x:v>Coffee</x:v>
      </x:c>
      <x:c r="D1370" t="str">
        <x:v>Petrol</x:v>
      </x:c>
      <x:c r="E1370" t="str">
        <x:v>VIC</x:v>
      </x:c>
      <x:c r="F1370" s="11" t="n">
        <x:v>19083.57</x:v>
      </x:c>
      <x:c r="G1370" s="13" t="n">
        <x:v>3403</x:v>
      </x:c>
      <x:c r="H1370" s="11" t="n">
        <x:v>7784.64</x:v>
      </x:c>
      <x:c r="I1370" s="11" t="n">
        <x:v>27019.05</x:v>
      </x:c>
    </x:row>
    <x:row r="1371">
      <x:c r="A1371" t="n">
        <x:v>2024</x:v>
      </x:c>
      <x:c r="B1371" t="str">
        <x:v>2024-07</x:v>
      </x:c>
      <x:c r="C1371" t="str">
        <x:v>Energy</x:v>
      </x:c>
      <x:c r="D1371" t="str">
        <x:v>Convenience</x:v>
      </x:c>
      <x:c r="E1371" t="str">
        <x:v>NSW</x:v>
      </x:c>
      <x:c r="F1371" s="11" t="n">
        <x:v>79975.68</x:v>
      </x:c>
      <x:c r="G1371" s="13" t="n">
        <x:v>14328</x:v>
      </x:c>
      <x:c r="H1371" s="11" t="n">
        <x:v>48577.1</x:v>
      </x:c>
      <x:c r="I1371" s="11" t="n">
        <x:v>108489.83</x:v>
      </x:c>
    </x:row>
    <x:row r="1372">
      <x:c r="A1372" t="n">
        <x:v>2024</x:v>
      </x:c>
      <x:c r="B1372" t="str">
        <x:v>2024-07</x:v>
      </x:c>
      <x:c r="C1372" t="str">
        <x:v>Energy</x:v>
      </x:c>
      <x:c r="D1372" t="str">
        <x:v>Convenience</x:v>
      </x:c>
      <x:c r="E1372" t="str">
        <x:v>QLD</x:v>
      </x:c>
      <x:c r="F1372" s="11" t="n">
        <x:v>76651.49</x:v>
      </x:c>
      <x:c r="G1372" s="13" t="n">
        <x:v>13877</x:v>
      </x:c>
      <x:c r="H1372" s="11" t="n">
        <x:v>45944.57</x:v>
      </x:c>
      <x:c r="I1372" s="11" t="n">
        <x:v>104298.39</x:v>
      </x:c>
    </x:row>
    <x:row r="1373">
      <x:c r="A1373" t="n">
        <x:v>2024</x:v>
      </x:c>
      <x:c r="B1373" t="str">
        <x:v>2024-07</x:v>
      </x:c>
      <x:c r="C1373" t="str">
        <x:v>Energy</x:v>
      </x:c>
      <x:c r="D1373" t="str">
        <x:v>Convenience</x:v>
      </x:c>
      <x:c r="E1373" t="str">
        <x:v>VIC</x:v>
      </x:c>
      <x:c r="F1373" s="11" t="n">
        <x:v>74897.15</x:v>
      </x:c>
      <x:c r="G1373" s="13" t="n">
        <x:v>13476</x:v>
      </x:c>
      <x:c r="H1373" s="11" t="n">
        <x:v>45064.66</x:v>
      </x:c>
      <x:c r="I1373" s="11" t="n">
        <x:v>101247.07</x:v>
      </x:c>
    </x:row>
    <x:row r="1374">
      <x:c r="A1374" t="n">
        <x:v>2024</x:v>
      </x:c>
      <x:c r="B1374" t="str">
        <x:v>2024-07</x:v>
      </x:c>
      <x:c r="C1374" t="str">
        <x:v>Energy</x:v>
      </x:c>
      <x:c r="D1374" t="str">
        <x:v>Grocery</x:v>
      </x:c>
      <x:c r="E1374" t="str">
        <x:v>NSW</x:v>
      </x:c>
      <x:c r="F1374" s="11" t="n">
        <x:v>312408.29</x:v>
      </x:c>
      <x:c r="G1374" s="13" t="n">
        <x:v>65652</x:v>
      </x:c>
      <x:c r="H1374" s="11" t="n">
        <x:v>168680.72</x:v>
      </x:c>
      <x:c r="I1374" s="11" t="n">
        <x:v>270121.72000000003</x:v>
      </x:c>
    </x:row>
    <x:row r="1375">
      <x:c r="A1375" t="n">
        <x:v>2024</x:v>
      </x:c>
      <x:c r="B1375" t="str">
        <x:v>2024-07</x:v>
      </x:c>
      <x:c r="C1375" t="str">
        <x:v>Energy</x:v>
      </x:c>
      <x:c r="D1375" t="str">
        <x:v>Grocery</x:v>
      </x:c>
      <x:c r="E1375" t="str">
        <x:v>QLD</x:v>
      </x:c>
      <x:c r="F1375" s="11" t="n">
        <x:v>295344.47</x:v>
      </x:c>
      <x:c r="G1375" s="13" t="n">
        <x:v>61170</x:v>
      </x:c>
      <x:c r="H1375" s="11" t="n">
        <x:v>160970.76</x:v>
      </x:c>
      <x:c r="I1375" s="11" t="n">
        <x:v>259744.63999999998</x:v>
      </x:c>
    </x:row>
    <x:row r="1376">
      <x:c r="A1376" t="n">
        <x:v>2024</x:v>
      </x:c>
      <x:c r="B1376" t="str">
        <x:v>2024-07</x:v>
      </x:c>
      <x:c r="C1376" t="str">
        <x:v>Energy</x:v>
      </x:c>
      <x:c r="D1376" t="str">
        <x:v>Grocery</x:v>
      </x:c>
      <x:c r="E1376" t="str">
        <x:v>VIC</x:v>
      </x:c>
      <x:c r="F1376" s="11" t="n">
        <x:v>284096.2</x:v>
      </x:c>
      <x:c r="G1376" s="13" t="n">
        <x:v>58709</x:v>
      </x:c>
      <x:c r="H1376" s="11" t="n">
        <x:v>154784.75</x:v>
      </x:c>
      <x:c r="I1376" s="11" t="n">
        <x:v>251933.31</x:v>
      </x:c>
    </x:row>
    <x:row r="1377">
      <x:c r="A1377" t="n">
        <x:v>2024</x:v>
      </x:c>
      <x:c r="B1377" t="str">
        <x:v>2024-07</x:v>
      </x:c>
      <x:c r="C1377" t="str">
        <x:v>Energy</x:v>
      </x:c>
      <x:c r="D1377" t="str">
        <x:v>Hospitality</x:v>
      </x:c>
      <x:c r="E1377" t="str">
        <x:v>NSW</x:v>
      </x:c>
      <x:c r="F1377" s="11" t="n">
        <x:v>38805.97</x:v>
      </x:c>
      <x:c r="G1377" s="13" t="n">
        <x:v>8751</x:v>
      </x:c>
      <x:c r="H1377" s="11" t="n">
        <x:v>19554.78</x:v>
      </x:c>
      <x:c r="I1377" s="11" t="n">
        <x:v>34020.6</x:v>
      </x:c>
    </x:row>
    <x:row r="1378">
      <x:c r="A1378" t="n">
        <x:v>2024</x:v>
      </x:c>
      <x:c r="B1378" t="str">
        <x:v>2024-07</x:v>
      </x:c>
      <x:c r="C1378" t="str">
        <x:v>Energy</x:v>
      </x:c>
      <x:c r="D1378" t="str">
        <x:v>Hospitality</x:v>
      </x:c>
      <x:c r="E1378" t="str">
        <x:v>QLD</x:v>
      </x:c>
      <x:c r="F1378" s="11" t="n">
        <x:v>36854.43</x:v>
      </x:c>
      <x:c r="G1378" s="13" t="n">
        <x:v>8106</x:v>
      </x:c>
      <x:c r="H1378" s="11" t="n">
        <x:v>18631.68</x:v>
      </x:c>
      <x:c r="I1378" s="11" t="n">
        <x:v>32456.88</x:v>
      </x:c>
    </x:row>
    <x:row r="1379">
      <x:c r="A1379" t="n">
        <x:v>2024</x:v>
      </x:c>
      <x:c r="B1379" t="str">
        <x:v>2024-07</x:v>
      </x:c>
      <x:c r="C1379" t="str">
        <x:v>Energy</x:v>
      </x:c>
      <x:c r="D1379" t="str">
        <x:v>Hospitality</x:v>
      </x:c>
      <x:c r="E1379" t="str">
        <x:v>VIC</x:v>
      </x:c>
      <x:c r="F1379" s="11" t="n">
        <x:v>36310.62</x:v>
      </x:c>
      <x:c r="G1379" s="13" t="n">
        <x:v>8218</x:v>
      </x:c>
      <x:c r="H1379" s="11" t="n">
        <x:v>18355.38</x:v>
      </x:c>
      <x:c r="I1379" s="11" t="n">
        <x:v>31495.09</x:v>
      </x:c>
    </x:row>
    <x:row r="1380">
      <x:c r="A1380" t="n">
        <x:v>2024</x:v>
      </x:c>
      <x:c r="B1380" t="str">
        <x:v>2024-07</x:v>
      </x:c>
      <x:c r="C1380" t="str">
        <x:v>Energy</x:v>
      </x:c>
      <x:c r="D1380" t="str">
        <x:v>Independent retail</x:v>
      </x:c>
      <x:c r="E1380" t="str">
        <x:v>NSW</x:v>
      </x:c>
      <x:c r="F1380" s="11" t="n">
        <x:v>104307.19</x:v>
      </x:c>
      <x:c r="G1380" s="13" t="n">
        <x:v>20635</x:v>
      </x:c>
      <x:c r="H1380" s="11" t="n">
        <x:v>57503.29</x:v>
      </x:c>
      <x:c r="I1380" s="11" t="n">
        <x:v>91885.28</x:v>
      </x:c>
    </x:row>
    <x:row r="1381">
      <x:c r="A1381" t="n">
        <x:v>2024</x:v>
      </x:c>
      <x:c r="B1381" t="str">
        <x:v>2024-07</x:v>
      </x:c>
      <x:c r="C1381" t="str">
        <x:v>Energy</x:v>
      </x:c>
      <x:c r="D1381" t="str">
        <x:v>Independent retail</x:v>
      </x:c>
      <x:c r="E1381" t="str">
        <x:v>QLD</x:v>
      </x:c>
      <x:c r="F1381" s="11" t="n">
        <x:v>102248.57</x:v>
      </x:c>
      <x:c r="G1381" s="13" t="n">
        <x:v>20703</x:v>
      </x:c>
      <x:c r="H1381" s="11" t="n">
        <x:v>55662.66</x:v>
      </x:c>
      <x:c r="I1381" s="11" t="n">
        <x:v>88203.64</x:v>
      </x:c>
    </x:row>
    <x:row r="1382">
      <x:c r="A1382" t="n">
        <x:v>2024</x:v>
      </x:c>
      <x:c r="B1382" t="str">
        <x:v>2024-07</x:v>
      </x:c>
      <x:c r="C1382" t="str">
        <x:v>Energy</x:v>
      </x:c>
      <x:c r="D1382" t="str">
        <x:v>Independent retail</x:v>
      </x:c>
      <x:c r="E1382" t="str">
        <x:v>VIC</x:v>
      </x:c>
      <x:c r="F1382" s="11" t="n">
        <x:v>96273.64</x:v>
      </x:c>
      <x:c r="G1382" s="13" t="n">
        <x:v>19434</x:v>
      </x:c>
      <x:c r="H1382" s="11" t="n">
        <x:v>52750.88</x:v>
      </x:c>
      <x:c r="I1382" s="11" t="n">
        <x:v>85575.55</x:v>
      </x:c>
    </x:row>
    <x:row r="1383">
      <x:c r="A1383" t="n">
        <x:v>2024</x:v>
      </x:c>
      <x:c r="B1383" t="str">
        <x:v>2024-07</x:v>
      </x:c>
      <x:c r="C1383" t="str">
        <x:v>Energy</x:v>
      </x:c>
      <x:c r="D1383" t="str">
        <x:v>Petrol</x:v>
      </x:c>
      <x:c r="E1383" t="str">
        <x:v>NSW</x:v>
      </x:c>
      <x:c r="F1383" s="11" t="n">
        <x:v>114154.73</x:v>
      </x:c>
      <x:c r="G1383" s="13" t="n">
        <x:v>21399</x:v>
      </x:c>
      <x:c r="H1383" s="11" t="n">
        <x:v>66398.8</x:v>
      </x:c>
      <x:c r="I1383" s="11" t="n">
        <x:v>98931.28</x:v>
      </x:c>
    </x:row>
    <x:row r="1384">
      <x:c r="A1384" t="n">
        <x:v>2024</x:v>
      </x:c>
      <x:c r="B1384" t="str">
        <x:v>2024-07</x:v>
      </x:c>
      <x:c r="C1384" t="str">
        <x:v>Energy</x:v>
      </x:c>
      <x:c r="D1384" t="str">
        <x:v>Petrol</x:v>
      </x:c>
      <x:c r="E1384" t="str">
        <x:v>QLD</x:v>
      </x:c>
      <x:c r="F1384" s="11" t="n">
        <x:v>110126.8</x:v>
      </x:c>
      <x:c r="G1384" s="13" t="n">
        <x:v>20502</x:v>
      </x:c>
      <x:c r="H1384" s="11" t="n">
        <x:v>64931.63</x:v>
      </x:c>
      <x:c r="I1384" s="11" t="n">
        <x:v>95181.97</x:v>
      </x:c>
    </x:row>
    <x:row r="1385">
      <x:c r="A1385" t="n">
        <x:v>2024</x:v>
      </x:c>
      <x:c r="B1385" t="str">
        <x:v>2024-07</x:v>
      </x:c>
      <x:c r="C1385" t="str">
        <x:v>Energy</x:v>
      </x:c>
      <x:c r="D1385" t="str">
        <x:v>Petrol</x:v>
      </x:c>
      <x:c r="E1385" t="str">
        <x:v>VIC</x:v>
      </x:c>
      <x:c r="F1385" s="11" t="n">
        <x:v>103562.33</x:v>
      </x:c>
      <x:c r="G1385" s="13" t="n">
        <x:v>19643</x:v>
      </x:c>
      <x:c r="H1385" s="11" t="n">
        <x:v>60117.63</x:v>
      </x:c>
      <x:c r="I1385" s="11" t="n">
        <x:v>92415.76</x:v>
      </x:c>
    </x:row>
    <x:row r="1386">
      <x:c r="A1386" t="n">
        <x:v>2024</x:v>
      </x:c>
      <x:c r="B1386" t="str">
        <x:v>2024-07</x:v>
      </x:c>
      <x:c r="C1386" t="str">
        <x:v>Sparkling</x:v>
      </x:c>
      <x:c r="D1386" t="str">
        <x:v>Convenience</x:v>
      </x:c>
      <x:c r="E1386" t="str">
        <x:v>NSW</x:v>
      </x:c>
      <x:c r="F1386" s="11" t="n">
        <x:v>114438.27</x:v>
      </x:c>
      <x:c r="G1386" s="13" t="n">
        <x:v>27540</x:v>
      </x:c>
      <x:c r="H1386" s="11" t="n">
        <x:v>61761.49</x:v>
      </x:c>
      <x:c r="I1386" s="11" t="n">
        <x:v>113878.88</x:v>
      </x:c>
    </x:row>
    <x:row r="1387">
      <x:c r="A1387" t="n">
        <x:v>2024</x:v>
      </x:c>
      <x:c r="B1387" t="str">
        <x:v>2024-07</x:v>
      </x:c>
      <x:c r="C1387" t="str">
        <x:v>Sparkling</x:v>
      </x:c>
      <x:c r="D1387" t="str">
        <x:v>Convenience</x:v>
      </x:c>
      <x:c r="E1387" t="str">
        <x:v>QLD</x:v>
      </x:c>
      <x:c r="F1387" s="11" t="n">
        <x:v>107348.13</x:v>
      </x:c>
      <x:c r="G1387" s="13" t="n">
        <x:v>26225</x:v>
      </x:c>
      <x:c r="H1387" s="11" t="n">
        <x:v>57800.15</x:v>
      </x:c>
      <x:c r="I1387" s="11" t="n">
        <x:v>109485.39</x:v>
      </x:c>
    </x:row>
    <x:row r="1388">
      <x:c r="A1388" t="n">
        <x:v>2024</x:v>
      </x:c>
      <x:c r="B1388" t="str">
        <x:v>2024-07</x:v>
      </x:c>
      <x:c r="C1388" t="str">
        <x:v>Sparkling</x:v>
      </x:c>
      <x:c r="D1388" t="str">
        <x:v>Convenience</x:v>
      </x:c>
      <x:c r="E1388" t="str">
        <x:v>VIC</x:v>
      </x:c>
      <x:c r="F1388" s="11" t="n">
        <x:v>106730.08</x:v>
      </x:c>
      <x:c r="G1388" s="13" t="n">
        <x:v>26180</x:v>
      </x:c>
      <x:c r="H1388" s="11" t="n">
        <x:v>57383.78</x:v>
      </x:c>
      <x:c r="I1388" s="11" t="n">
        <x:v>106266.85</x:v>
      </x:c>
    </x:row>
    <x:row r="1389">
      <x:c r="A1389" t="n">
        <x:v>2024</x:v>
      </x:c>
      <x:c r="B1389" t="str">
        <x:v>2024-07</x:v>
      </x:c>
      <x:c r="C1389" t="str">
        <x:v>Sparkling</x:v>
      </x:c>
      <x:c r="D1389" t="str">
        <x:v>Grocery</x:v>
      </x:c>
      <x:c r="E1389" t="str">
        <x:v>NSW</x:v>
      </x:c>
      <x:c r="F1389" s="11" t="n">
        <x:v>282976.68</x:v>
      </x:c>
      <x:c r="G1389" s="13" t="n">
        <x:v>78665</x:v>
      </x:c>
      <x:c r="H1389" s="11" t="n">
        <x:v>135572.61</x:v>
      </x:c>
      <x:c r="I1389" s="11" t="n">
        <x:v>283079.33</x:v>
      </x:c>
    </x:row>
    <x:row r="1390">
      <x:c r="A1390" t="n">
        <x:v>2024</x:v>
      </x:c>
      <x:c r="B1390" t="str">
        <x:v>2024-07</x:v>
      </x:c>
      <x:c r="C1390" t="str">
        <x:v>Sparkling</x:v>
      </x:c>
      <x:c r="D1390" t="str">
        <x:v>Grocery</x:v>
      </x:c>
      <x:c r="E1390" t="str">
        <x:v>QLD</x:v>
      </x:c>
      <x:c r="F1390" s="11" t="n">
        <x:v>272306.97</x:v>
      </x:c>
      <x:c r="G1390" s="13" t="n">
        <x:v>75553</x:v>
      </x:c>
      <x:c r="H1390" s="11" t="n">
        <x:v>128592.4</x:v>
      </x:c>
      <x:c r="I1390" s="11" t="n">
        <x:v>272186.7</x:v>
      </x:c>
    </x:row>
    <x:row r="1391">
      <x:c r="A1391" t="n">
        <x:v>2024</x:v>
      </x:c>
      <x:c r="B1391" t="str">
        <x:v>2024-07</x:v>
      </x:c>
      <x:c r="C1391" t="str">
        <x:v>Sparkling</x:v>
      </x:c>
      <x:c r="D1391" t="str">
        <x:v>Grocery</x:v>
      </x:c>
      <x:c r="E1391" t="str">
        <x:v>VIC</x:v>
      </x:c>
      <x:c r="F1391" s="11" t="n">
        <x:v>262444.25</x:v>
      </x:c>
      <x:c r="G1391" s="13" t="n">
        <x:v>72090</x:v>
      </x:c>
      <x:c r="H1391" s="11" t="n">
        <x:v>125880.88</x:v>
      </x:c>
      <x:c r="I1391" s="11" t="n">
        <x:v>264046.2</x:v>
      </x:c>
    </x:row>
    <x:row r="1392">
      <x:c r="A1392" t="n">
        <x:v>2024</x:v>
      </x:c>
      <x:c r="B1392" t="str">
        <x:v>2024-07</x:v>
      </x:c>
      <x:c r="C1392" t="str">
        <x:v>Sparkling</x:v>
      </x:c>
      <x:c r="D1392" t="str">
        <x:v>Hospitality</x:v>
      </x:c>
      <x:c r="E1392" t="str">
        <x:v>NSW</x:v>
      </x:c>
      <x:c r="F1392" s="11" t="n">
        <x:v>35225.64</x:v>
      </x:c>
      <x:c r="G1392" s="13" t="n">
        <x:v>10637</x:v>
      </x:c>
      <x:c r="H1392" s="11" t="n">
        <x:v>15328.83</x:v>
      </x:c>
      <x:c r="I1392" s="11" t="n">
        <x:v>35393.22</x:v>
      </x:c>
    </x:row>
    <x:row r="1393">
      <x:c r="A1393" t="n">
        <x:v>2024</x:v>
      </x:c>
      <x:c r="B1393" t="str">
        <x:v>2024-07</x:v>
      </x:c>
      <x:c r="C1393" t="str">
        <x:v>Sparkling</x:v>
      </x:c>
      <x:c r="D1393" t="str">
        <x:v>Hospitality</x:v>
      </x:c>
      <x:c r="E1393" t="str">
        <x:v>QLD</x:v>
      </x:c>
      <x:c r="F1393" s="11" t="n">
        <x:v>34048.85</x:v>
      </x:c>
      <x:c r="G1393" s="13" t="n">
        <x:v>10508</x:v>
      </x:c>
      <x:c r="H1393" s="11" t="n">
        <x:v>14226.460000000001</x:v>
      </x:c>
      <x:c r="I1393" s="11" t="n">
        <x:v>34028.01</x:v>
      </x:c>
    </x:row>
    <x:row r="1394">
      <x:c r="A1394" t="n">
        <x:v>2024</x:v>
      </x:c>
      <x:c r="B1394" t="str">
        <x:v>2024-07</x:v>
      </x:c>
      <x:c r="C1394" t="str">
        <x:v>Sparkling</x:v>
      </x:c>
      <x:c r="D1394" t="str">
        <x:v>Hospitality</x:v>
      </x:c>
      <x:c r="E1394" t="str">
        <x:v>VIC</x:v>
      </x:c>
      <x:c r="F1394" s="11" t="n">
        <x:v>33271.22</x:v>
      </x:c>
      <x:c r="G1394" s="13" t="n">
        <x:v>10019</x:v>
      </x:c>
      <x:c r="H1394" s="11" t="n">
        <x:v>14189.46</x:v>
      </x:c>
      <x:c r="I1394" s="11" t="n">
        <x:v>33008.090000000004</x:v>
      </x:c>
    </x:row>
    <x:row r="1395">
      <x:c r="A1395" t="n">
        <x:v>2024</x:v>
      </x:c>
      <x:c r="B1395" t="str">
        <x:v>2024-07</x:v>
      </x:c>
      <x:c r="C1395" t="str">
        <x:v>Sparkling</x:v>
      </x:c>
      <x:c r="D1395" t="str">
        <x:v>Independent retail</x:v>
      </x:c>
      <x:c r="E1395" t="str">
        <x:v>NSW</x:v>
      </x:c>
      <x:c r="F1395" s="11" t="n">
        <x:v>94244.82</x:v>
      </x:c>
      <x:c r="G1395" s="13" t="n">
        <x:v>25671</x:v>
      </x:c>
      <x:c r="H1395" s="11" t="n">
        <x:v>45466.73</x:v>
      </x:c>
      <x:c r="I1395" s="11" t="n">
        <x:v>96366.65</x:v>
      </x:c>
    </x:row>
    <x:row r="1396">
      <x:c r="A1396" t="n">
        <x:v>2024</x:v>
      </x:c>
      <x:c r="B1396" t="str">
        <x:v>2024-07</x:v>
      </x:c>
      <x:c r="C1396" t="str">
        <x:v>Sparkling</x:v>
      </x:c>
      <x:c r="D1396" t="str">
        <x:v>Independent retail</x:v>
      </x:c>
      <x:c r="E1396" t="str">
        <x:v>QLD</x:v>
      </x:c>
      <x:c r="F1396" s="11" t="n">
        <x:v>89849.22</x:v>
      </x:c>
      <x:c r="G1396" s="13" t="n">
        <x:v>24462</x:v>
      </x:c>
      <x:c r="H1396" s="11" t="n">
        <x:v>43758.2</x:v>
      </x:c>
      <x:c r="I1396" s="11" t="n">
        <x:v>92641.4</x:v>
      </x:c>
    </x:row>
    <x:row r="1397">
      <x:c r="A1397" t="n">
        <x:v>2024</x:v>
      </x:c>
      <x:c r="B1397" t="str">
        <x:v>2024-07</x:v>
      </x:c>
      <x:c r="C1397" t="str">
        <x:v>Sparkling</x:v>
      </x:c>
      <x:c r="D1397" t="str">
        <x:v>Independent retail</x:v>
      </x:c>
      <x:c r="E1397" t="str">
        <x:v>VIC</x:v>
      </x:c>
      <x:c r="F1397" s="11" t="n">
        <x:v>89289.03</x:v>
      </x:c>
      <x:c r="G1397" s="13" t="n">
        <x:v>24678</x:v>
      </x:c>
      <x:c r="H1397" s="11" t="n">
        <x:v>43046.79</x:v>
      </x:c>
      <x:c r="I1397" s="11" t="n">
        <x:v>89841.39</x:v>
      </x:c>
    </x:row>
    <x:row r="1398">
      <x:c r="A1398" t="n">
        <x:v>2024</x:v>
      </x:c>
      <x:c r="B1398" t="str">
        <x:v>2024-07</x:v>
      </x:c>
      <x:c r="C1398" t="str">
        <x:v>Sparkling</x:v>
      </x:c>
      <x:c r="D1398" t="str">
        <x:v>Petrol</x:v>
      </x:c>
      <x:c r="E1398" t="str">
        <x:v>NSW</x:v>
      </x:c>
      <x:c r="F1398" s="11" t="n">
        <x:v>103554.45</x:v>
      </x:c>
      <x:c r="G1398" s="13" t="n">
        <x:v>25911</x:v>
      </x:c>
      <x:c r="H1398" s="11" t="n">
        <x:v>54535.31</x:v>
      </x:c>
      <x:c r="I1398" s="11" t="n">
        <x:v>103860.40000000001</x:v>
      </x:c>
    </x:row>
    <x:row r="1399">
      <x:c r="A1399" t="n">
        <x:v>2024</x:v>
      </x:c>
      <x:c r="B1399" t="str">
        <x:v>2024-07</x:v>
      </x:c>
      <x:c r="C1399" t="str">
        <x:v>Sparkling</x:v>
      </x:c>
      <x:c r="D1399" t="str">
        <x:v>Petrol</x:v>
      </x:c>
      <x:c r="E1399" t="str">
        <x:v>QLD</x:v>
      </x:c>
      <x:c r="F1399" s="11" t="n">
        <x:v>97340.63</x:v>
      </x:c>
      <x:c r="G1399" s="13" t="n">
        <x:v>24383</x:v>
      </x:c>
      <x:c r="H1399" s="11" t="n">
        <x:v>52117.62</x:v>
      </x:c>
      <x:c r="I1399" s="11" t="n">
        <x:v>99901.89</x:v>
      </x:c>
    </x:row>
    <x:row r="1400">
      <x:c r="A1400" t="n">
        <x:v>2024</x:v>
      </x:c>
      <x:c r="B1400" t="str">
        <x:v>2024-07</x:v>
      </x:c>
      <x:c r="C1400" t="str">
        <x:v>Sparkling</x:v>
      </x:c>
      <x:c r="D1400" t="str">
        <x:v>Petrol</x:v>
      </x:c>
      <x:c r="E1400" t="str">
        <x:v>VIC</x:v>
      </x:c>
      <x:c r="F1400" s="11" t="n">
        <x:v>94554.13</x:v>
      </x:c>
      <x:c r="G1400" s="13" t="n">
        <x:v>23481</x:v>
      </x:c>
      <x:c r="H1400" s="11" t="n">
        <x:v>50377.18</x:v>
      </x:c>
      <x:c r="I1400" s="11" t="n">
        <x:v>96827.57</x:v>
      </x:c>
    </x:row>
    <x:row r="1401">
      <x:c r="A1401" t="n">
        <x:v>2024</x:v>
      </x:c>
      <x:c r="B1401" t="str">
        <x:v>2024-07</x:v>
      </x:c>
      <x:c r="C1401" t="str">
        <x:v>Sports</x:v>
      </x:c>
      <x:c r="D1401" t="str">
        <x:v>Convenience</x:v>
      </x:c>
      <x:c r="E1401" t="str">
        <x:v>NSW</x:v>
      </x:c>
      <x:c r="F1401" s="11" t="n">
        <x:v>67693.27</x:v>
      </x:c>
      <x:c r="G1401" s="13" t="n">
        <x:v>13407</x:v>
      </x:c>
      <x:c r="H1401" s="11" t="n">
        <x:v>35193.24</x:v>
      </x:c>
      <x:c r="I1401" s="11" t="n">
        <x:v>62903.11</x:v>
      </x:c>
    </x:row>
    <x:row r="1402">
      <x:c r="A1402" t="n">
        <x:v>2024</x:v>
      </x:c>
      <x:c r="B1402" t="str">
        <x:v>2024-07</x:v>
      </x:c>
      <x:c r="C1402" t="str">
        <x:v>Sports</x:v>
      </x:c>
      <x:c r="D1402" t="str">
        <x:v>Convenience</x:v>
      </x:c>
      <x:c r="E1402" t="str">
        <x:v>QLD</x:v>
      </x:c>
      <x:c r="F1402" s="11" t="n">
        <x:v>65591.97</x:v>
      </x:c>
      <x:c r="G1402" s="13" t="n">
        <x:v>13264</x:v>
      </x:c>
      <x:c r="H1402" s="11" t="n">
        <x:v>33658.52</x:v>
      </x:c>
      <x:c r="I1402" s="11" t="n">
        <x:v>60396.03</x:v>
      </x:c>
    </x:row>
    <x:row r="1403">
      <x:c r="A1403" t="n">
        <x:v>2024</x:v>
      </x:c>
      <x:c r="B1403" t="str">
        <x:v>2024-07</x:v>
      </x:c>
      <x:c r="C1403" t="str">
        <x:v>Sports</x:v>
      </x:c>
      <x:c r="D1403" t="str">
        <x:v>Convenience</x:v>
      </x:c>
      <x:c r="E1403" t="str">
        <x:v>VIC</x:v>
      </x:c>
      <x:c r="F1403" s="11" t="n">
        <x:v>62078.94</x:v>
      </x:c>
      <x:c r="G1403" s="13" t="n">
        <x:v>12484</x:v>
      </x:c>
      <x:c r="H1403" s="11" t="n">
        <x:v>31955.15</x:v>
      </x:c>
      <x:c r="I1403" s="11" t="n">
        <x:v>58614.11</x:v>
      </x:c>
    </x:row>
    <x:row r="1404">
      <x:c r="A1404" t="n">
        <x:v>2024</x:v>
      </x:c>
      <x:c r="B1404" t="str">
        <x:v>2024-07</x:v>
      </x:c>
      <x:c r="C1404" t="str">
        <x:v>Sports</x:v>
      </x:c>
      <x:c r="D1404" t="str">
        <x:v>Grocery</x:v>
      </x:c>
      <x:c r="E1404" t="str">
        <x:v>NSW</x:v>
      </x:c>
      <x:c r="F1404" s="11" t="n">
        <x:v>165479.32</x:v>
      </x:c>
      <x:c r="G1404" s="13" t="n">
        <x:v>36847</x:v>
      </x:c>
      <x:c r="H1404" s="11" t="n">
        <x:v>77312.55</x:v>
      </x:c>
      <x:c r="I1404" s="11" t="n">
        <x:v>156048.47</x:v>
      </x:c>
    </x:row>
    <x:row r="1405">
      <x:c r="A1405" t="n">
        <x:v>2024</x:v>
      </x:c>
      <x:c r="B1405" t="str">
        <x:v>2024-07</x:v>
      </x:c>
      <x:c r="C1405" t="str">
        <x:v>Sports</x:v>
      </x:c>
      <x:c r="D1405" t="str">
        <x:v>Grocery</x:v>
      </x:c>
      <x:c r="E1405" t="str">
        <x:v>QLD</x:v>
      </x:c>
      <x:c r="F1405" s="11" t="n">
        <x:v>155498.21</x:v>
      </x:c>
      <x:c r="G1405" s="13" t="n">
        <x:v>35087</x:v>
      </x:c>
      <x:c r="H1405" s="11" t="n">
        <x:v>70718.87</x:v>
      </x:c>
      <x:c r="I1405" s="11" t="n">
        <x:v>150052.03</x:v>
      </x:c>
    </x:row>
    <x:row r="1406">
      <x:c r="A1406" t="n">
        <x:v>2024</x:v>
      </x:c>
      <x:c r="B1406" t="str">
        <x:v>2024-07</x:v>
      </x:c>
      <x:c r="C1406" t="str">
        <x:v>Sports</x:v>
      </x:c>
      <x:c r="D1406" t="str">
        <x:v>Grocery</x:v>
      </x:c>
      <x:c r="E1406" t="str">
        <x:v>VIC</x:v>
      </x:c>
      <x:c r="F1406" s="11" t="n">
        <x:v>153323.89</x:v>
      </x:c>
      <x:c r="G1406" s="13" t="n">
        <x:v>33788</x:v>
      </x:c>
      <x:c r="H1406" s="11" t="n">
        <x:v>71593.77</x:v>
      </x:c>
      <x:c r="I1406" s="11" t="n">
        <x:v>145558.22999999998</x:v>
      </x:c>
    </x:row>
    <x:row r="1407">
      <x:c r="A1407" t="n">
        <x:v>2024</x:v>
      </x:c>
      <x:c r="B1407" t="str">
        <x:v>2024-07</x:v>
      </x:c>
      <x:c r="C1407" t="str">
        <x:v>Sports</x:v>
      </x:c>
      <x:c r="D1407" t="str">
        <x:v>Hospitality</x:v>
      </x:c>
      <x:c r="E1407" t="str">
        <x:v>NSW</x:v>
      </x:c>
      <x:c r="F1407" s="11" t="n">
        <x:v>20048.54</x:v>
      </x:c>
      <x:c r="G1407" s="13" t="n">
        <x:v>4814</x:v>
      </x:c>
      <x:c r="H1407" s="11" t="n">
        <x:v>8436.54</x:v>
      </x:c>
      <x:c r="I1407" s="11" t="n">
        <x:v>19613.079999999998</x:v>
      </x:c>
    </x:row>
    <x:row r="1408">
      <x:c r="A1408" t="n">
        <x:v>2024</x:v>
      </x:c>
      <x:c r="B1408" t="str">
        <x:v>2024-07</x:v>
      </x:c>
      <x:c r="C1408" t="str">
        <x:v>Sports</x:v>
      </x:c>
      <x:c r="D1408" t="str">
        <x:v>Hospitality</x:v>
      </x:c>
      <x:c r="E1408" t="str">
        <x:v>QLD</x:v>
      </x:c>
      <x:c r="F1408" s="11" t="n">
        <x:v>19956.43</x:v>
      </x:c>
      <x:c r="G1408" s="13" t="n">
        <x:v>5005</x:v>
      </x:c>
      <x:c r="H1408" s="11" t="n">
        <x:v>7864.57</x:v>
      </x:c>
      <x:c r="I1408" s="11" t="n">
        <x:v>18686.6</x:v>
      </x:c>
    </x:row>
    <x:row r="1409">
      <x:c r="A1409" t="n">
        <x:v>2024</x:v>
      </x:c>
      <x:c r="B1409" t="str">
        <x:v>2024-07</x:v>
      </x:c>
      <x:c r="C1409" t="str">
        <x:v>Sports</x:v>
      </x:c>
      <x:c r="D1409" t="str">
        <x:v>Hospitality</x:v>
      </x:c>
      <x:c r="E1409" t="str">
        <x:v>VIC</x:v>
      </x:c>
      <x:c r="F1409" s="11" t="n">
        <x:v>19371.7</x:v>
      </x:c>
      <x:c r="G1409" s="13" t="n">
        <x:v>4691</x:v>
      </x:c>
      <x:c r="H1409" s="11" t="n">
        <x:v>7924.79</x:v>
      </x:c>
      <x:c r="I1409" s="11" t="n">
        <x:v>18176.67</x:v>
      </x:c>
    </x:row>
    <x:row r="1410">
      <x:c r="A1410" t="n">
        <x:v>2024</x:v>
      </x:c>
      <x:c r="B1410" t="str">
        <x:v>2024-07</x:v>
      </x:c>
      <x:c r="C1410" t="str">
        <x:v>Sports</x:v>
      </x:c>
      <x:c r="D1410" t="str">
        <x:v>Independent retail</x:v>
      </x:c>
      <x:c r="E1410" t="str">
        <x:v>NSW</x:v>
      </x:c>
      <x:c r="F1410" s="11" t="n">
        <x:v>57315.24</x:v>
      </x:c>
      <x:c r="G1410" s="13" t="n">
        <x:v>12998</x:v>
      </x:c>
      <x:c r="H1410" s="11" t="n">
        <x:v>25976.97</x:v>
      </x:c>
      <x:c r="I1410" s="11" t="n">
        <x:v>53048.43</x:v>
      </x:c>
    </x:row>
    <x:row r="1411">
      <x:c r="A1411" t="n">
        <x:v>2024</x:v>
      </x:c>
      <x:c r="B1411" t="str">
        <x:v>2024-07</x:v>
      </x:c>
      <x:c r="C1411" t="str">
        <x:v>Sports</x:v>
      </x:c>
      <x:c r="D1411" t="str">
        <x:v>Independent retail</x:v>
      </x:c>
      <x:c r="E1411" t="str">
        <x:v>QLD</x:v>
      </x:c>
      <x:c r="F1411" s="11" t="n">
        <x:v>54389.42</x:v>
      </x:c>
      <x:c r="G1411" s="13" t="n">
        <x:v>12104</x:v>
      </x:c>
      <x:c r="H1411" s="11" t="n">
        <x:v>25097.84</x:v>
      </x:c>
      <x:c r="I1411" s="11" t="n">
        <x:v>50940.57</x:v>
      </x:c>
    </x:row>
    <x:row r="1412">
      <x:c r="A1412" t="n">
        <x:v>2024</x:v>
      </x:c>
      <x:c r="B1412" t="str">
        <x:v>2024-07</x:v>
      </x:c>
      <x:c r="C1412" t="str">
        <x:v>Sports</x:v>
      </x:c>
      <x:c r="D1412" t="str">
        <x:v>Independent retail</x:v>
      </x:c>
      <x:c r="E1412" t="str">
        <x:v>VIC</x:v>
      </x:c>
      <x:c r="F1412" s="11" t="n">
        <x:v>52323.03</x:v>
      </x:c>
      <x:c r="G1412" s="13" t="n">
        <x:v>11971</x:v>
      </x:c>
      <x:c r="H1412" s="11" t="n">
        <x:v>23586.44</x:v>
      </x:c>
      <x:c r="I1412" s="11" t="n">
        <x:v>49474.61</x:v>
      </x:c>
    </x:row>
    <x:row r="1413">
      <x:c r="A1413" t="n">
        <x:v>2024</x:v>
      </x:c>
      <x:c r="B1413" t="str">
        <x:v>2024-07</x:v>
      </x:c>
      <x:c r="C1413" t="str">
        <x:v>Sports</x:v>
      </x:c>
      <x:c r="D1413" t="str">
        <x:v>Petrol</x:v>
      </x:c>
      <x:c r="E1413" t="str">
        <x:v>NSW</x:v>
      </x:c>
      <x:c r="F1413" s="11" t="n">
        <x:v>61215.8</x:v>
      </x:c>
      <x:c r="G1413" s="13" t="n">
        <x:v>12719</x:v>
      </x:c>
      <x:c r="H1413" s="11" t="n">
        <x:v>30815.77</x:v>
      </x:c>
      <x:c r="I1413" s="11" t="n">
        <x:v>57583.16</x:v>
      </x:c>
    </x:row>
    <x:row r="1414">
      <x:c r="A1414" t="n">
        <x:v>2024</x:v>
      </x:c>
      <x:c r="B1414" t="str">
        <x:v>2024-07</x:v>
      </x:c>
      <x:c r="C1414" t="str">
        <x:v>Sports</x:v>
      </x:c>
      <x:c r="D1414" t="str">
        <x:v>Petrol</x:v>
      </x:c>
      <x:c r="E1414" t="str">
        <x:v>QLD</x:v>
      </x:c>
      <x:c r="F1414" s="11" t="n">
        <x:v>57811.2</x:v>
      </x:c>
      <x:c r="G1414" s="13" t="n">
        <x:v>11374</x:v>
      </x:c>
      <x:c r="H1414" s="11" t="n">
        <x:v>30355.19</x:v>
      </x:c>
      <x:c r="I1414" s="11" t="n">
        <x:v>55285.83</x:v>
      </x:c>
    </x:row>
    <x:row r="1415">
      <x:c r="A1415" t="n">
        <x:v>2024</x:v>
      </x:c>
      <x:c r="B1415" t="str">
        <x:v>2024-07</x:v>
      </x:c>
      <x:c r="C1415" t="str">
        <x:v>Sports</x:v>
      </x:c>
      <x:c r="D1415" t="str">
        <x:v>Petrol</x:v>
      </x:c>
      <x:c r="E1415" t="str">
        <x:v>VIC</x:v>
      </x:c>
      <x:c r="F1415" s="11" t="n">
        <x:v>56675.63</x:v>
      </x:c>
      <x:c r="G1415" s="13" t="n">
        <x:v>11548</x:v>
      </x:c>
      <x:c r="H1415" s="11" t="n">
        <x:v>29225.8</x:v>
      </x:c>
      <x:c r="I1415" s="11" t="n">
        <x:v>53646.71</x:v>
      </x:c>
    </x:row>
    <x:row r="1416">
      <x:c r="A1416" t="n">
        <x:v>2024</x:v>
      </x:c>
      <x:c r="B1416" t="str">
        <x:v>2024-07</x:v>
      </x:c>
      <x:c r="C1416" t="str">
        <x:v>Water</x:v>
      </x:c>
      <x:c r="D1416" t="str">
        <x:v>Convenience</x:v>
      </x:c>
      <x:c r="E1416" t="str">
        <x:v>NSW</x:v>
      </x:c>
      <x:c r="F1416" s="11" t="n">
        <x:v>73923.55</x:v>
      </x:c>
      <x:c r="G1416" s="13" t="n">
        <x:v>23262</x:v>
      </x:c>
      <x:c r="H1416" s="11" t="n">
        <x:v>35964.08</x:v>
      </x:c>
      <x:c r="I1416" s="11" t="n">
        <x:v>74907.88</x:v>
      </x:c>
    </x:row>
    <x:row r="1417">
      <x:c r="A1417" t="n">
        <x:v>2024</x:v>
      </x:c>
      <x:c r="B1417" t="str">
        <x:v>2024-07</x:v>
      </x:c>
      <x:c r="C1417" t="str">
        <x:v>Water</x:v>
      </x:c>
      <x:c r="D1417" t="str">
        <x:v>Convenience</x:v>
      </x:c>
      <x:c r="E1417" t="str">
        <x:v>QLD</x:v>
      </x:c>
      <x:c r="F1417" s="11" t="n">
        <x:v>71098.18000000001</x:v>
      </x:c>
      <x:c r="G1417" s="13" t="n">
        <x:v>21772</x:v>
      </x:c>
      <x:c r="H1417" s="11" t="n">
        <x:v>35307.58</x:v>
      </x:c>
      <x:c r="I1417" s="11" t="n">
        <x:v>72013.44</x:v>
      </x:c>
    </x:row>
    <x:row r="1418">
      <x:c r="A1418" t="n">
        <x:v>2024</x:v>
      </x:c>
      <x:c r="B1418" t="str">
        <x:v>2024-07</x:v>
      </x:c>
      <x:c r="C1418" t="str">
        <x:v>Water</x:v>
      </x:c>
      <x:c r="D1418" t="str">
        <x:v>Convenience</x:v>
      </x:c>
      <x:c r="E1418" t="str">
        <x:v>VIC</x:v>
      </x:c>
      <x:c r="F1418" s="11" t="n">
        <x:v>68578.28</x:v>
      </x:c>
      <x:c r="G1418" s="13" t="n">
        <x:v>21161</x:v>
      </x:c>
      <x:c r="H1418" s="11" t="n">
        <x:v>33924.81</x:v>
      </x:c>
      <x:c r="I1418" s="11" t="n">
        <x:v>69875.26</x:v>
      </x:c>
    </x:row>
    <x:row r="1419">
      <x:c r="A1419" t="n">
        <x:v>2024</x:v>
      </x:c>
      <x:c r="B1419" t="str">
        <x:v>2024-07</x:v>
      </x:c>
      <x:c r="C1419" t="str">
        <x:v>Water</x:v>
      </x:c>
      <x:c r="D1419" t="str">
        <x:v>Grocery</x:v>
      </x:c>
      <x:c r="E1419" t="str">
        <x:v>NSW</x:v>
      </x:c>
      <x:c r="F1419" s="11" t="n">
        <x:v>191326.53</x:v>
      </x:c>
      <x:c r="G1419" s="13" t="n">
        <x:v>70284</x:v>
      </x:c>
      <x:c r="H1419" s="11" t="n">
        <x:v>73863.94</x:v>
      </x:c>
      <x:c r="I1419" s="11" t="n">
        <x:v>186721.86</x:v>
      </x:c>
    </x:row>
    <x:row r="1420">
      <x:c r="A1420" t="n">
        <x:v>2024</x:v>
      </x:c>
      <x:c r="B1420" t="str">
        <x:v>2024-07</x:v>
      </x:c>
      <x:c r="C1420" t="str">
        <x:v>Water</x:v>
      </x:c>
      <x:c r="D1420" t="str">
        <x:v>Grocery</x:v>
      </x:c>
      <x:c r="E1420" t="str">
        <x:v>QLD</x:v>
      </x:c>
      <x:c r="F1420" s="11" t="n">
        <x:v>172785.78</x:v>
      </x:c>
      <x:c r="G1420" s="13" t="n">
        <x:v>63326</x:v>
      </x:c>
      <x:c r="H1420" s="11" t="n">
        <x:v>68008.22</x:v>
      </x:c>
      <x:c r="I1420" s="11" t="n">
        <x:v>179519.15</x:v>
      </x:c>
    </x:row>
    <x:row r="1421">
      <x:c r="A1421" t="n">
        <x:v>2024</x:v>
      </x:c>
      <x:c r="B1421" t="str">
        <x:v>2024-07</x:v>
      </x:c>
      <x:c r="C1421" t="str">
        <x:v>Water</x:v>
      </x:c>
      <x:c r="D1421" t="str">
        <x:v>Grocery</x:v>
      </x:c>
      <x:c r="E1421" t="str">
        <x:v>VIC</x:v>
      </x:c>
      <x:c r="F1421" s="11" t="n">
        <x:v>169921.52</x:v>
      </x:c>
      <x:c r="G1421" s="13" t="n">
        <x:v>62788</x:v>
      </x:c>
      <x:c r="H1421" s="11" t="n">
        <x:v>65489.96</x:v>
      </x:c>
      <x:c r="I1421" s="11" t="n">
        <x:v>174152.38</x:v>
      </x:c>
    </x:row>
    <x:row r="1422">
      <x:c r="A1422" t="n">
        <x:v>2024</x:v>
      </x:c>
      <x:c r="B1422" t="str">
        <x:v>2024-07</x:v>
      </x:c>
      <x:c r="C1422" t="str">
        <x:v>Water</x:v>
      </x:c>
      <x:c r="D1422" t="str">
        <x:v>Hospitality</x:v>
      </x:c>
      <x:c r="E1422" t="str">
        <x:v>NSW</x:v>
      </x:c>
      <x:c r="F1422" s="11" t="n">
        <x:v>23436.23</x:v>
      </x:c>
      <x:c r="G1422" s="13" t="n">
        <x:v>9432</x:v>
      </x:c>
      <x:c r="H1422" s="11" t="n">
        <x:v>7817.22</x:v>
      </x:c>
      <x:c r="I1422" s="11" t="n">
        <x:v>23354.88</x:v>
      </x:c>
    </x:row>
    <x:row r="1423">
      <x:c r="A1423" t="n">
        <x:v>2024</x:v>
      </x:c>
      <x:c r="B1423" t="str">
        <x:v>2024-07</x:v>
      </x:c>
      <x:c r="C1423" t="str">
        <x:v>Water</x:v>
      </x:c>
      <x:c r="D1423" t="str">
        <x:v>Hospitality</x:v>
      </x:c>
      <x:c r="E1423" t="str">
        <x:v>QLD</x:v>
      </x:c>
      <x:c r="F1423" s="11" t="n">
        <x:v>22397.71</x:v>
      </x:c>
      <x:c r="G1423" s="13" t="n">
        <x:v>8888</x:v>
      </x:c>
      <x:c r="H1423" s="11" t="n">
        <x:v>7928.56</x:v>
      </x:c>
      <x:c r="I1423" s="11" t="n">
        <x:v>22456.88</x:v>
      </x:c>
    </x:row>
    <x:row r="1424">
      <x:c r="A1424" t="n">
        <x:v>2024</x:v>
      </x:c>
      <x:c r="B1424" t="str">
        <x:v>2024-07</x:v>
      </x:c>
      <x:c r="C1424" t="str">
        <x:v>Water</x:v>
      </x:c>
      <x:c r="D1424" t="str">
        <x:v>Hospitality</x:v>
      </x:c>
      <x:c r="E1424" t="str">
        <x:v>VIC</x:v>
      </x:c>
      <x:c r="F1424" s="11" t="n">
        <x:v>21420.77</x:v>
      </x:c>
      <x:c r="G1424" s="13" t="n">
        <x:v>8636</x:v>
      </x:c>
      <x:c r="H1424" s="11" t="n">
        <x:v>7277.83</x:v>
      </x:c>
      <x:c r="I1424" s="11" t="n">
        <x:v>21768.56</x:v>
      </x:c>
    </x:row>
    <x:row r="1425">
      <x:c r="A1425" t="n">
        <x:v>2024</x:v>
      </x:c>
      <x:c r="B1425" t="str">
        <x:v>2024-07</x:v>
      </x:c>
      <x:c r="C1425" t="str">
        <x:v>Water</x:v>
      </x:c>
      <x:c r="D1425" t="str">
        <x:v>Independent retail</x:v>
      </x:c>
      <x:c r="E1425" t="str">
        <x:v>NSW</x:v>
      </x:c>
      <x:c r="F1425" s="11" t="n">
        <x:v>62830.36</x:v>
      </x:c>
      <x:c r="G1425" s="13" t="n">
        <x:v>21701</x:v>
      </x:c>
      <x:c r="H1425" s="11" t="n">
        <x:v>27161.1</x:v>
      </x:c>
      <x:c r="I1425" s="11" t="n">
        <x:v>63594.96</x:v>
      </x:c>
    </x:row>
    <x:row r="1426">
      <x:c r="A1426" t="n">
        <x:v>2024</x:v>
      </x:c>
      <x:c r="B1426" t="str">
        <x:v>2024-07</x:v>
      </x:c>
      <x:c r="C1426" t="str">
        <x:v>Water</x:v>
      </x:c>
      <x:c r="D1426" t="str">
        <x:v>Independent retail</x:v>
      </x:c>
      <x:c r="E1426" t="str">
        <x:v>QLD</x:v>
      </x:c>
      <x:c r="F1426" s="11" t="n">
        <x:v>62956.59</x:v>
      </x:c>
      <x:c r="G1426" s="13" t="n">
        <x:v>21690</x:v>
      </x:c>
      <x:c r="H1426" s="11" t="n">
        <x:v>26682.75</x:v>
      </x:c>
      <x:c r="I1426" s="11" t="n">
        <x:v>61101.27</x:v>
      </x:c>
    </x:row>
    <x:row r="1427">
      <x:c r="A1427" t="n">
        <x:v>2024</x:v>
      </x:c>
      <x:c r="B1427" t="str">
        <x:v>2024-07</x:v>
      </x:c>
      <x:c r="C1427" t="str">
        <x:v>Water</x:v>
      </x:c>
      <x:c r="D1427" t="str">
        <x:v>Independent retail</x:v>
      </x:c>
      <x:c r="E1427" t="str">
        <x:v>VIC</x:v>
      </x:c>
      <x:c r="F1427" s="11" t="n">
        <x:v>58492.11</x:v>
      </x:c>
      <x:c r="G1427" s="13" t="n">
        <x:v>19629</x:v>
      </x:c>
      <x:c r="H1427" s="11" t="n">
        <x:v>25406.54</x:v>
      </x:c>
      <x:c r="I1427" s="11" t="n">
        <x:v>59328.63</x:v>
      </x:c>
    </x:row>
    <x:row r="1428">
      <x:c r="A1428" t="n">
        <x:v>2024</x:v>
      </x:c>
      <x:c r="B1428" t="str">
        <x:v>2024-07</x:v>
      </x:c>
      <x:c r="C1428" t="str">
        <x:v>Water</x:v>
      </x:c>
      <x:c r="D1428" t="str">
        <x:v>Petrol</x:v>
      </x:c>
      <x:c r="E1428" t="str">
        <x:v>NSW</x:v>
      </x:c>
      <x:c r="F1428" s="11" t="n">
        <x:v>68037.83</x:v>
      </x:c>
      <x:c r="G1428" s="13" t="n">
        <x:v>21704</x:v>
      </x:c>
      <x:c r="H1428" s="11" t="n">
        <x:v>31973.38</x:v>
      </x:c>
      <x:c r="I1428" s="11" t="n">
        <x:v>68324.37</x:v>
      </x:c>
    </x:row>
    <x:row r="1429">
      <x:c r="A1429" t="n">
        <x:v>2024</x:v>
      </x:c>
      <x:c r="B1429" t="str">
        <x:v>2024-07</x:v>
      </x:c>
      <x:c r="C1429" t="str">
        <x:v>Water</x:v>
      </x:c>
      <x:c r="D1429" t="str">
        <x:v>Petrol</x:v>
      </x:c>
      <x:c r="E1429" t="str">
        <x:v>QLD</x:v>
      </x:c>
      <x:c r="F1429" s="11" t="n">
        <x:v>64826.26</x:v>
      </x:c>
      <x:c r="G1429" s="13" t="n">
        <x:v>21237</x:v>
      </x:c>
      <x:c r="H1429" s="11" t="n">
        <x:v>29420.96</x:v>
      </x:c>
      <x:c r="I1429" s="11" t="n">
        <x:v>65712.7</x:v>
      </x:c>
    </x:row>
    <x:row r="1430">
      <x:c r="A1430" t="n">
        <x:v>2024</x:v>
      </x:c>
      <x:c r="B1430" t="str">
        <x:v>2024-07</x:v>
      </x:c>
      <x:c r="C1430" t="str">
        <x:v>Water</x:v>
      </x:c>
      <x:c r="D1430" t="str">
        <x:v>Petrol</x:v>
      </x:c>
      <x:c r="E1430" t="str">
        <x:v>VIC</x:v>
      </x:c>
      <x:c r="F1430" s="11" t="n">
        <x:v>63578.29</x:v>
      </x:c>
      <x:c r="G1430" s="13" t="n">
        <x:v>20552</x:v>
      </x:c>
      <x:c r="H1430" s="11" t="n">
        <x:v>29161.92</x:v>
      </x:c>
      <x:c r="I1430" s="11" t="n">
        <x:v>63726.83</x:v>
      </x:c>
    </x:row>
    <x:row r="1431">
      <x:c r="A1431" t="n">
        <x:v>2024</x:v>
      </x:c>
      <x:c r="B1431" t="str">
        <x:v>2024-08</x:v>
      </x:c>
      <x:c r="C1431" t="str">
        <x:v>Coffee</x:v>
      </x:c>
      <x:c r="D1431" t="str">
        <x:v>Convenience</x:v>
      </x:c>
      <x:c r="E1431" t="str">
        <x:v>NSW</x:v>
      </x:c>
      <x:c r="F1431" s="11" t="n">
        <x:v>26259.48</x:v>
      </x:c>
      <x:c r="G1431" s="13" t="n">
        <x:v>4221</x:v>
      </x:c>
      <x:c r="H1431" s="11" t="n">
        <x:v>11277.11</x:v>
      </x:c>
      <x:c r="I1431" s="11" t="n">
        <x:v>37172.14</x:v>
      </x:c>
    </x:row>
    <x:row r="1432">
      <x:c r="A1432" t="n">
        <x:v>2024</x:v>
      </x:c>
      <x:c r="B1432" t="str">
        <x:v>2024-08</x:v>
      </x:c>
      <x:c r="C1432" t="str">
        <x:v>Coffee</x:v>
      </x:c>
      <x:c r="D1432" t="str">
        <x:v>Convenience</x:v>
      </x:c>
      <x:c r="E1432" t="str">
        <x:v>QLD</x:v>
      </x:c>
      <x:c r="F1432" s="11" t="n">
        <x:v>25142.22</x:v>
      </x:c>
      <x:c r="G1432" s="13" t="n">
        <x:v>4106</x:v>
      </x:c>
      <x:c r="H1432" s="11" t="n">
        <x:v>10750.46</x:v>
      </x:c>
      <x:c r="I1432" s="11" t="n">
        <x:v>35747.02</x:v>
      </x:c>
    </x:row>
    <x:row r="1433">
      <x:c r="A1433" t="n">
        <x:v>2024</x:v>
      </x:c>
      <x:c r="B1433" t="str">
        <x:v>2024-08</x:v>
      </x:c>
      <x:c r="C1433" t="str">
        <x:v>Coffee</x:v>
      </x:c>
      <x:c r="D1433" t="str">
        <x:v>Convenience</x:v>
      </x:c>
      <x:c r="E1433" t="str">
        <x:v>VIC</x:v>
      </x:c>
      <x:c r="F1433" s="11" t="n">
        <x:v>24698.06</x:v>
      </x:c>
      <x:c r="G1433" s="13" t="n">
        <x:v>4025</x:v>
      </x:c>
      <x:c r="H1433" s="11" t="n">
        <x:v>10480.43</x:v>
      </x:c>
      <x:c r="I1433" s="11" t="n">
        <x:v>34682.42</x:v>
      </x:c>
    </x:row>
    <x:row r="1434">
      <x:c r="A1434" t="n">
        <x:v>2024</x:v>
      </x:c>
      <x:c r="B1434" t="str">
        <x:v>2024-08</x:v>
      </x:c>
      <x:c r="C1434" t="str">
        <x:v>Coffee</x:v>
      </x:c>
      <x:c r="D1434" t="str">
        <x:v>Grocery</x:v>
      </x:c>
      <x:c r="E1434" t="str">
        <x:v>NSW</x:v>
      </x:c>
      <x:c r="F1434" s="11" t="n">
        <x:v>66998.24</x:v>
      </x:c>
      <x:c r="G1434" s="13" t="n">
        <x:v>12102</x:v>
      </x:c>
      <x:c r="H1434" s="11" t="n">
        <x:v>24514.79</x:v>
      </x:c>
      <x:c r="I1434" s="11" t="n">
        <x:v>92454.47</x:v>
      </x:c>
    </x:row>
    <x:row r="1435">
      <x:c r="A1435" t="n">
        <x:v>2024</x:v>
      </x:c>
      <x:c r="B1435" t="str">
        <x:v>2024-08</x:v>
      </x:c>
      <x:c r="C1435" t="str">
        <x:v>Coffee</x:v>
      </x:c>
      <x:c r="D1435" t="str">
        <x:v>Grocery</x:v>
      </x:c>
      <x:c r="E1435" t="str">
        <x:v>QLD</x:v>
      </x:c>
      <x:c r="F1435" s="11" t="n">
        <x:v>63655.3</x:v>
      </x:c>
      <x:c r="G1435" s="13" t="n">
        <x:v>11697</x:v>
      </x:c>
      <x:c r="H1435" s="11" t="n">
        <x:v>22206.64</x:v>
      </x:c>
      <x:c r="I1435" s="11" t="n">
        <x:v>88887.96</x:v>
      </x:c>
    </x:row>
    <x:row r="1436">
      <x:c r="A1436" t="n">
        <x:v>2024</x:v>
      </x:c>
      <x:c r="B1436" t="str">
        <x:v>2024-08</x:v>
      </x:c>
      <x:c r="C1436" t="str">
        <x:v>Coffee</x:v>
      </x:c>
      <x:c r="D1436" t="str">
        <x:v>Grocery</x:v>
      </x:c>
      <x:c r="E1436" t="str">
        <x:v>VIC</x:v>
      </x:c>
      <x:c r="F1436" s="11" t="n">
        <x:v>64080.45</x:v>
      </x:c>
      <x:c r="G1436" s="13" t="n">
        <x:v>11525</x:v>
      </x:c>
      <x:c r="H1436" s="11" t="n">
        <x:v>23186.71</x:v>
      </x:c>
      <x:c r="I1436" s="11" t="n">
        <x:v>86212.24</x:v>
      </x:c>
    </x:row>
    <x:row r="1437">
      <x:c r="A1437" t="n">
        <x:v>2024</x:v>
      </x:c>
      <x:c r="B1437" t="str">
        <x:v>2024-08</x:v>
      </x:c>
      <x:c r="C1437" t="str">
        <x:v>Coffee</x:v>
      </x:c>
      <x:c r="D1437" t="str">
        <x:v>Hospitality</x:v>
      </x:c>
      <x:c r="E1437" t="str">
        <x:v>NSW</x:v>
      </x:c>
      <x:c r="F1437" s="11" t="n">
        <x:v>8358.55</x:v>
      </x:c>
      <x:c r="G1437" s="13" t="n">
        <x:v>1663</x:v>
      </x:c>
      <x:c r="H1437" s="11" t="n">
        <x:v>2548.33</x:v>
      </x:c>
      <x:c r="I1437" s="11" t="n">
        <x:v>11673.41</x:v>
      </x:c>
    </x:row>
    <x:row r="1438">
      <x:c r="A1438" t="n">
        <x:v>2024</x:v>
      </x:c>
      <x:c r="B1438" t="str">
        <x:v>2024-08</x:v>
      </x:c>
      <x:c r="C1438" t="str">
        <x:v>Coffee</x:v>
      </x:c>
      <x:c r="D1438" t="str">
        <x:v>Hospitality</x:v>
      </x:c>
      <x:c r="E1438" t="str">
        <x:v>QLD</x:v>
      </x:c>
      <x:c r="F1438" s="11" t="n">
        <x:v>7966.38</x:v>
      </x:c>
      <x:c r="G1438" s="13" t="n">
        <x:v>1637</x:v>
      </x:c>
      <x:c r="H1438" s="11" t="n">
        <x:v>2227.54</x:v>
      </x:c>
      <x:c r="I1438" s="11" t="n">
        <x:v>11137.9</x:v>
      </x:c>
    </x:row>
    <x:row r="1439">
      <x:c r="A1439" t="n">
        <x:v>2024</x:v>
      </x:c>
      <x:c r="B1439" t="str">
        <x:v>2024-08</x:v>
      </x:c>
      <x:c r="C1439" t="str">
        <x:v>Coffee</x:v>
      </x:c>
      <x:c r="D1439" t="str">
        <x:v>Hospitality</x:v>
      </x:c>
      <x:c r="E1439" t="str">
        <x:v>VIC</x:v>
      </x:c>
      <x:c r="F1439" s="11" t="n">
        <x:v>7957.62</x:v>
      </x:c>
      <x:c r="G1439" s="13" t="n">
        <x:v>1593</x:v>
      </x:c>
      <x:c r="H1439" s="11" t="n">
        <x:v>2320.83</x:v>
      </x:c>
      <x:c r="I1439" s="11" t="n">
        <x:v>10930.59</x:v>
      </x:c>
    </x:row>
    <x:row r="1440">
      <x:c r="A1440" t="n">
        <x:v>2024</x:v>
      </x:c>
      <x:c r="B1440" t="str">
        <x:v>2024-08</x:v>
      </x:c>
      <x:c r="C1440" t="str">
        <x:v>Coffee</x:v>
      </x:c>
      <x:c r="D1440" t="str">
        <x:v>Independent retail</x:v>
      </x:c>
      <x:c r="E1440" t="str">
        <x:v>NSW</x:v>
      </x:c>
      <x:c r="F1440" s="11" t="n">
        <x:v>22824.84</x:v>
      </x:c>
      <x:c r="G1440" s="13" t="n">
        <x:v>4219</x:v>
      </x:c>
      <x:c r="H1440" s="11" t="n">
        <x:v>7999.89</x:v>
      </x:c>
      <x:c r="I1440" s="11" t="n">
        <x:v>31393.95</x:v>
      </x:c>
    </x:row>
    <x:row r="1441">
      <x:c r="A1441" t="n">
        <x:v>2024</x:v>
      </x:c>
      <x:c r="B1441" t="str">
        <x:v>2024-08</x:v>
      </x:c>
      <x:c r="C1441" t="str">
        <x:v>Coffee</x:v>
      </x:c>
      <x:c r="D1441" t="str">
        <x:v>Independent retail</x:v>
      </x:c>
      <x:c r="E1441" t="str">
        <x:v>QLD</x:v>
      </x:c>
      <x:c r="F1441" s="11" t="n">
        <x:v>21595.11</x:v>
      </x:c>
      <x:c r="G1441" s="13" t="n">
        <x:v>3824</x:v>
      </x:c>
      <x:c r="H1441" s="11" t="n">
        <x:v>7963.24</x:v>
      </x:c>
      <x:c r="I1441" s="11" t="n">
        <x:v>30194.32</x:v>
      </x:c>
    </x:row>
    <x:row r="1442">
      <x:c r="A1442" t="n">
        <x:v>2024</x:v>
      </x:c>
      <x:c r="B1442" t="str">
        <x:v>2024-08</x:v>
      </x:c>
      <x:c r="C1442" t="str">
        <x:v>Coffee</x:v>
      </x:c>
      <x:c r="D1442" t="str">
        <x:v>Independent retail</x:v>
      </x:c>
      <x:c r="E1442" t="str">
        <x:v>VIC</x:v>
      </x:c>
      <x:c r="F1442" s="11" t="n">
        <x:v>21209.96</x:v>
      </x:c>
      <x:c r="G1442" s="13" t="n">
        <x:v>3914</x:v>
      </x:c>
      <x:c r="H1442" s="11" t="n">
        <x:v>7523.2</x:v>
      </x:c>
      <x:c r="I1442" s="11" t="n">
        <x:v>29238.08</x:v>
      </x:c>
    </x:row>
    <x:row r="1443">
      <x:c r="A1443" t="n">
        <x:v>2024</x:v>
      </x:c>
      <x:c r="B1443" t="str">
        <x:v>2024-08</x:v>
      </x:c>
      <x:c r="C1443" t="str">
        <x:v>Coffee</x:v>
      </x:c>
      <x:c r="D1443" t="str">
        <x:v>Petrol</x:v>
      </x:c>
      <x:c r="E1443" t="str">
        <x:v>NSW</x:v>
      </x:c>
      <x:c r="F1443" s="11" t="n">
        <x:v>24038.14</x:v>
      </x:c>
      <x:c r="G1443" s="13" t="n">
        <x:v>3999</x:v>
      </x:c>
      <x:c r="H1443" s="11" t="n">
        <x:v>9998.85</x:v>
      </x:c>
      <x:c r="I1443" s="11" t="n">
        <x:v>33888.87</x:v>
      </x:c>
    </x:row>
    <x:row r="1444">
      <x:c r="A1444" t="n">
        <x:v>2024</x:v>
      </x:c>
      <x:c r="B1444" t="str">
        <x:v>2024-08</x:v>
      </x:c>
      <x:c r="C1444" t="str">
        <x:v>Coffee</x:v>
      </x:c>
      <x:c r="D1444" t="str">
        <x:v>Petrol</x:v>
      </x:c>
      <x:c r="E1444" t="str">
        <x:v>QLD</x:v>
      </x:c>
      <x:c r="F1444" s="11" t="n">
        <x:v>23335.1</x:v>
      </x:c>
      <x:c r="G1444" s="13" t="n">
        <x:v>3782</x:v>
      </x:c>
      <x:c r="H1444" s="11" t="n">
        <x:v>10105.51</x:v>
      </x:c>
      <x:c r="I1444" s="11" t="n">
        <x:v>32636.5</x:v>
      </x:c>
    </x:row>
    <x:row r="1445">
      <x:c r="A1445" t="n">
        <x:v>2024</x:v>
      </x:c>
      <x:c r="B1445" t="str">
        <x:v>2024-08</x:v>
      </x:c>
      <x:c r="C1445" t="str">
        <x:v>Coffee</x:v>
      </x:c>
      <x:c r="D1445" t="str">
        <x:v>Petrol</x:v>
      </x:c>
      <x:c r="E1445" t="str">
        <x:v>VIC</x:v>
      </x:c>
      <x:c r="F1445" s="11" t="n">
        <x:v>23547.99</x:v>
      </x:c>
      <x:c r="G1445" s="13" t="n">
        <x:v>3862</x:v>
      </x:c>
      <x:c r="H1445" s="11" t="n">
        <x:v>10019.36</x:v>
      </x:c>
      <x:c r="I1445" s="11" t="n">
        <x:v>31623.04</x:v>
      </x:c>
    </x:row>
    <x:row r="1446">
      <x:c r="A1446" t="n">
        <x:v>2024</x:v>
      </x:c>
      <x:c r="B1446" t="str">
        <x:v>2024-08</x:v>
      </x:c>
      <x:c r="C1446" t="str">
        <x:v>Energy</x:v>
      </x:c>
      <x:c r="D1446" t="str">
        <x:v>Convenience</x:v>
      </x:c>
      <x:c r="E1446" t="str">
        <x:v>NSW</x:v>
      </x:c>
      <x:c r="F1446" s="11" t="n">
        <x:v>81567.09</x:v>
      </x:c>
      <x:c r="G1446" s="13" t="n">
        <x:v>15080</x:v>
      </x:c>
      <x:c r="H1446" s="11" t="n">
        <x:v>48899.72</x:v>
      </x:c>
      <x:c r="I1446" s="11" t="n">
        <x:v>111614.71</x:v>
      </x:c>
    </x:row>
    <x:row r="1447">
      <x:c r="A1447" t="n">
        <x:v>2024</x:v>
      </x:c>
      <x:c r="B1447" t="str">
        <x:v>2024-08</x:v>
      </x:c>
      <x:c r="C1447" t="str">
        <x:v>Energy</x:v>
      </x:c>
      <x:c r="D1447" t="str">
        <x:v>Convenience</x:v>
      </x:c>
      <x:c r="E1447" t="str">
        <x:v>QLD</x:v>
      </x:c>
      <x:c r="F1447" s="11" t="n">
        <x:v>81781.83</x:v>
      </x:c>
      <x:c r="G1447" s="13" t="n">
        <x:v>14826</x:v>
      </x:c>
      <x:c r="H1447" s="11" t="n">
        <x:v>49639.48</x:v>
      </x:c>
      <x:c r="I1447" s="11" t="n">
        <x:v>107333.29000000001</x:v>
      </x:c>
    </x:row>
    <x:row r="1448">
      <x:c r="A1448" t="n">
        <x:v>2024</x:v>
      </x:c>
      <x:c r="B1448" t="str">
        <x:v>2024-08</x:v>
      </x:c>
      <x:c r="C1448" t="str">
        <x:v>Energy</x:v>
      </x:c>
      <x:c r="D1448" t="str">
        <x:v>Convenience</x:v>
      </x:c>
      <x:c r="E1448" t="str">
        <x:v>VIC</x:v>
      </x:c>
      <x:c r="F1448" s="11" t="n">
        <x:v>77628.29</x:v>
      </x:c>
      <x:c r="G1448" s="13" t="n">
        <x:v>14078</x:v>
      </x:c>
      <x:c r="H1448" s="11" t="n">
        <x:v>46955.67</x:v>
      </x:c>
      <x:c r="I1448" s="11" t="n">
        <x:v>104112.58</x:v>
      </x:c>
    </x:row>
    <x:row r="1449">
      <x:c r="A1449" t="n">
        <x:v>2024</x:v>
      </x:c>
      <x:c r="B1449" t="str">
        <x:v>2024-08</x:v>
      </x:c>
      <x:c r="C1449" t="str">
        <x:v>Energy</x:v>
      </x:c>
      <x:c r="D1449" t="str">
        <x:v>Grocery</x:v>
      </x:c>
      <x:c r="E1449" t="str">
        <x:v>NSW</x:v>
      </x:c>
      <x:c r="F1449" s="11" t="n">
        <x:v>318106.66</x:v>
      </x:c>
      <x:c r="G1449" s="13" t="n">
        <x:v>65328</x:v>
      </x:c>
      <x:c r="H1449" s="11" t="n">
        <x:v>170190.99</x:v>
      </x:c>
      <x:c r="I1449" s="11" t="n">
        <x:v>277870.1</x:v>
      </x:c>
    </x:row>
    <x:row r="1450">
      <x:c r="A1450" t="n">
        <x:v>2024</x:v>
      </x:c>
      <x:c r="B1450" t="str">
        <x:v>2024-08</x:v>
      </x:c>
      <x:c r="C1450" t="str">
        <x:v>Energy</x:v>
      </x:c>
      <x:c r="D1450" t="str">
        <x:v>Grocery</x:v>
      </x:c>
      <x:c r="E1450" t="str">
        <x:v>QLD</x:v>
      </x:c>
      <x:c r="F1450" s="11" t="n">
        <x:v>314549.07</x:v>
      </x:c>
      <x:c r="G1450" s="13" t="n">
        <x:v>66220</x:v>
      </x:c>
      <x:c r="H1450" s="11" t="n">
        <x:v>166225.09</x:v>
      </x:c>
      <x:c r="I1450" s="11" t="n">
        <x:v>267169.86</x:v>
      </x:c>
    </x:row>
    <x:row r="1451">
      <x:c r="A1451" t="n">
        <x:v>2024</x:v>
      </x:c>
      <x:c r="B1451" t="str">
        <x:v>2024-08</x:v>
      </x:c>
      <x:c r="C1451" t="str">
        <x:v>Energy</x:v>
      </x:c>
      <x:c r="D1451" t="str">
        <x:v>Grocery</x:v>
      </x:c>
      <x:c r="E1451" t="str">
        <x:v>VIC</x:v>
      </x:c>
      <x:c r="F1451" s="11" t="n">
        <x:v>293110.78</x:v>
      </x:c>
      <x:c r="G1451" s="13" t="n">
        <x:v>61105</x:v>
      </x:c>
      <x:c r="H1451" s="11" t="n">
        <x:v>156755.34</x:v>
      </x:c>
      <x:c r="I1451" s="11" t="n">
        <x:v>259167.03</x:v>
      </x:c>
    </x:row>
    <x:row r="1452">
      <x:c r="A1452" t="n">
        <x:v>2024</x:v>
      </x:c>
      <x:c r="B1452" t="str">
        <x:v>2024-08</x:v>
      </x:c>
      <x:c r="C1452" t="str">
        <x:v>Energy</x:v>
      </x:c>
      <x:c r="D1452" t="str">
        <x:v>Hospitality</x:v>
      </x:c>
      <x:c r="E1452" t="str">
        <x:v>NSW</x:v>
      </x:c>
      <x:c r="F1452" s="11" t="n">
        <x:v>40041.52</x:v>
      </x:c>
      <x:c r="G1452" s="13" t="n">
        <x:v>9035</x:v>
      </x:c>
      <x:c r="H1452" s="11" t="n">
        <x:v>19767.6</x:v>
      </x:c>
      <x:c r="I1452" s="11" t="n">
        <x:v>34825.84</x:v>
      </x:c>
    </x:row>
    <x:row r="1453">
      <x:c r="A1453" t="n">
        <x:v>2024</x:v>
      </x:c>
      <x:c r="B1453" t="str">
        <x:v>2024-08</x:v>
      </x:c>
      <x:c r="C1453" t="str">
        <x:v>Energy</x:v>
      </x:c>
      <x:c r="D1453" t="str">
        <x:v>Hospitality</x:v>
      </x:c>
      <x:c r="E1453" t="str">
        <x:v>QLD</x:v>
      </x:c>
      <x:c r="F1453" s="11" t="n">
        <x:v>38312.76</x:v>
      </x:c>
      <x:c r="G1453" s="13" t="n">
        <x:v>8709</x:v>
      </x:c>
      <x:c r="H1453" s="11" t="n">
        <x:v>19000.5</x:v>
      </x:c>
      <x:c r="I1453" s="11" t="n">
        <x:v>33500.8</x:v>
      </x:c>
    </x:row>
    <x:row r="1454">
      <x:c r="A1454" t="n">
        <x:v>2024</x:v>
      </x:c>
      <x:c r="B1454" t="str">
        <x:v>2024-08</x:v>
      </x:c>
      <x:c r="C1454" t="str">
        <x:v>Energy</x:v>
      </x:c>
      <x:c r="D1454" t="str">
        <x:v>Hospitality</x:v>
      </x:c>
      <x:c r="E1454" t="str">
        <x:v>VIC</x:v>
      </x:c>
      <x:c r="F1454" s="11" t="n">
        <x:v>37570.07</x:v>
      </x:c>
      <x:c r="G1454" s="13" t="n">
        <x:v>8596</x:v>
      </x:c>
      <x:c r="H1454" s="11" t="n">
        <x:v>18378.41</x:v>
      </x:c>
      <x:c r="I1454" s="11" t="n">
        <x:v>32510.27</x:v>
      </x:c>
    </x:row>
    <x:row r="1455">
      <x:c r="A1455" t="n">
        <x:v>2024</x:v>
      </x:c>
      <x:c r="B1455" t="str">
        <x:v>2024-08</x:v>
      </x:c>
      <x:c r="C1455" t="str">
        <x:v>Energy</x:v>
      </x:c>
      <x:c r="D1455" t="str">
        <x:v>Independent retail</x:v>
      </x:c>
      <x:c r="E1455" t="str">
        <x:v>NSW</x:v>
      </x:c>
      <x:c r="F1455" s="11" t="n">
        <x:v>108087.11</x:v>
      </x:c>
      <x:c r="G1455" s="13" t="n">
        <x:v>21912</x:v>
      </x:c>
      <x:c r="H1455" s="11" t="n">
        <x:v>60133.7</x:v>
      </x:c>
      <x:c r="I1455" s="11" t="n">
        <x:v>94415.04</x:v>
      </x:c>
    </x:row>
    <x:row r="1456">
      <x:c r="A1456" t="n">
        <x:v>2024</x:v>
      </x:c>
      <x:c r="B1456" t="str">
        <x:v>2024-08</x:v>
      </x:c>
      <x:c r="C1456" t="str">
        <x:v>Energy</x:v>
      </x:c>
      <x:c r="D1456" t="str">
        <x:v>Independent retail</x:v>
      </x:c>
      <x:c r="E1456" t="str">
        <x:v>QLD</x:v>
      </x:c>
      <x:c r="F1456" s="11" t="n">
        <x:v>104202.75</x:v>
      </x:c>
      <x:c r="G1456" s="13" t="n">
        <x:v>21001</x:v>
      </x:c>
      <x:c r="H1456" s="11" t="n">
        <x:v>58348.840000000004</x:v>
      </x:c>
      <x:c r="I1456" s="11" t="n">
        <x:v>90802.01</x:v>
      </x:c>
    </x:row>
    <x:row r="1457">
      <x:c r="A1457" t="n">
        <x:v>2024</x:v>
      </x:c>
      <x:c r="B1457" t="str">
        <x:v>2024-08</x:v>
      </x:c>
      <x:c r="C1457" t="str">
        <x:v>Energy</x:v>
      </x:c>
      <x:c r="D1457" t="str">
        <x:v>Independent retail</x:v>
      </x:c>
      <x:c r="E1457" t="str">
        <x:v>VIC</x:v>
      </x:c>
      <x:c r="F1457" s="11" t="n">
        <x:v>96993.66</x:v>
      </x:c>
      <x:c r="G1457" s="13" t="n">
        <x:v>19639</x:v>
      </x:c>
      <x:c r="H1457" s="11" t="n">
        <x:v>54093.27</x:v>
      </x:c>
      <x:c r="I1457" s="11" t="n">
        <x:v>88061.57</x:v>
      </x:c>
    </x:row>
    <x:row r="1458">
      <x:c r="A1458" t="n">
        <x:v>2024</x:v>
      </x:c>
      <x:c r="B1458" t="str">
        <x:v>2024-08</x:v>
      </x:c>
      <x:c r="C1458" t="str">
        <x:v>Energy</x:v>
      </x:c>
      <x:c r="D1458" t="str">
        <x:v>Petrol</x:v>
      </x:c>
      <x:c r="E1458" t="str">
        <x:v>NSW</x:v>
      </x:c>
      <x:c r="F1458" s="11" t="n">
        <x:v>116573.24</x:v>
      </x:c>
      <x:c r="G1458" s="13" t="n">
        <x:v>21289</x:v>
      </x:c>
      <x:c r="H1458" s="11" t="n">
        <x:v>69576.95</x:v>
      </x:c>
      <x:c r="I1458" s="11" t="n">
        <x:v>101840.62</x:v>
      </x:c>
    </x:row>
    <x:row r="1459">
      <x:c r="A1459" t="n">
        <x:v>2024</x:v>
      </x:c>
      <x:c r="B1459" t="str">
        <x:v>2024-08</x:v>
      </x:c>
      <x:c r="C1459" t="str">
        <x:v>Energy</x:v>
      </x:c>
      <x:c r="D1459" t="str">
        <x:v>Petrol</x:v>
      </x:c>
      <x:c r="E1459" t="str">
        <x:v>QLD</x:v>
      </x:c>
      <x:c r="F1459" s="11" t="n">
        <x:v>110054.36</x:v>
      </x:c>
      <x:c r="G1459" s="13" t="n">
        <x:v>20134</x:v>
      </x:c>
      <x:c r="H1459" s="11" t="n">
        <x:v>64458.909999999996</x:v>
      </x:c>
      <x:c r="I1459" s="11" t="n">
        <x:v>97897.9</x:v>
      </x:c>
    </x:row>
    <x:row r="1460">
      <x:c r="A1460" t="n">
        <x:v>2024</x:v>
      </x:c>
      <x:c r="B1460" t="str">
        <x:v>2024-08</x:v>
      </x:c>
      <x:c r="C1460" t="str">
        <x:v>Energy</x:v>
      </x:c>
      <x:c r="D1460" t="str">
        <x:v>Petrol</x:v>
      </x:c>
      <x:c r="E1460" t="str">
        <x:v>VIC</x:v>
      </x:c>
      <x:c r="F1460" s="11" t="n">
        <x:v>109159.25</x:v>
      </x:c>
      <x:c r="G1460" s="13" t="n">
        <x:v>19926</x:v>
      </x:c>
      <x:c r="H1460" s="11" t="n">
        <x:v>64381.66</x:v>
      </x:c>
      <x:c r="I1460" s="11" t="n">
        <x:v>94998.05</x:v>
      </x:c>
    </x:row>
    <x:row r="1461">
      <x:c r="A1461" t="n">
        <x:v>2024</x:v>
      </x:c>
      <x:c r="B1461" t="str">
        <x:v>2024-08</x:v>
      </x:c>
      <x:c r="C1461" t="str">
        <x:v>Sparkling</x:v>
      </x:c>
      <x:c r="D1461" t="str">
        <x:v>Convenience</x:v>
      </x:c>
      <x:c r="E1461" t="str">
        <x:v>NSW</x:v>
      </x:c>
      <x:c r="F1461" s="11" t="n">
        <x:v>113131.81999999999</x:v>
      </x:c>
      <x:c r="G1461" s="13" t="n">
        <x:v>27296</x:v>
      </x:c>
      <x:c r="H1461" s="11" t="n">
        <x:v>62150.7</x:v>
      </x:c>
      <x:c r="I1461" s="11" t="n">
        <x:v>115964.24</x:v>
      </x:c>
    </x:row>
    <x:row r="1462">
      <x:c r="A1462" t="n">
        <x:v>2024</x:v>
      </x:c>
      <x:c r="B1462" t="str">
        <x:v>2024-08</x:v>
      </x:c>
      <x:c r="C1462" t="str">
        <x:v>Sparkling</x:v>
      </x:c>
      <x:c r="D1462" t="str">
        <x:v>Convenience</x:v>
      </x:c>
      <x:c r="E1462" t="str">
        <x:v>QLD</x:v>
      </x:c>
      <x:c r="F1462" s="11" t="n">
        <x:v>111213.03</x:v>
      </x:c>
      <x:c r="G1462" s="13" t="n">
        <x:v>26466</x:v>
      </x:c>
      <x:c r="H1462" s="11" t="n">
        <x:v>61224.78</x:v>
      </x:c>
      <x:c r="I1462" s="11" t="n">
        <x:v>111500.21</x:v>
      </x:c>
    </x:row>
    <x:row r="1463">
      <x:c r="A1463" t="n">
        <x:v>2024</x:v>
      </x:c>
      <x:c r="B1463" t="str">
        <x:v>2024-08</x:v>
      </x:c>
      <x:c r="C1463" t="str">
        <x:v>Sparkling</x:v>
      </x:c>
      <x:c r="D1463" t="str">
        <x:v>Convenience</x:v>
      </x:c>
      <x:c r="E1463" t="str">
        <x:v>VIC</x:v>
      </x:c>
      <x:c r="F1463" s="11" t="n">
        <x:v>105619.78</x:v>
      </x:c>
      <x:c r="G1463" s="13" t="n">
        <x:v>25283</x:v>
      </x:c>
      <x:c r="H1463" s="11" t="n">
        <x:v>58349.840000000004</x:v>
      </x:c>
      <x:c r="I1463" s="11" t="n">
        <x:v>108157.78</x:v>
      </x:c>
    </x:row>
    <x:row r="1464">
      <x:c r="A1464" t="n">
        <x:v>2024</x:v>
      </x:c>
      <x:c r="B1464" t="str">
        <x:v>2024-08</x:v>
      </x:c>
      <x:c r="C1464" t="str">
        <x:v>Sparkling</x:v>
      </x:c>
      <x:c r="D1464" t="str">
        <x:v>Grocery</x:v>
      </x:c>
      <x:c r="E1464" t="str">
        <x:v>NSW</x:v>
      </x:c>
      <x:c r="F1464" s="11" t="n">
        <x:v>284318.17</x:v>
      </x:c>
      <x:c r="G1464" s="13" t="n">
        <x:v>81314</x:v>
      </x:c>
      <x:c r="H1464" s="11" t="n">
        <x:v>131365.99</x:v>
      </x:c>
      <x:c r="I1464" s="11" t="n">
        <x:v>288315.02</x:v>
      </x:c>
    </x:row>
    <x:row r="1465">
      <x:c r="A1465" t="n">
        <x:v>2024</x:v>
      </x:c>
      <x:c r="B1465" t="str">
        <x:v>2024-08</x:v>
      </x:c>
      <x:c r="C1465" t="str">
        <x:v>Sparkling</x:v>
      </x:c>
      <x:c r="D1465" t="str">
        <x:v>Grocery</x:v>
      </x:c>
      <x:c r="E1465" t="str">
        <x:v>QLD</x:v>
      </x:c>
      <x:c r="F1465" s="11" t="n">
        <x:v>271547.07</x:v>
      </x:c>
      <x:c r="G1465" s="13" t="n">
        <x:v>76245</x:v>
      </x:c>
      <x:c r="H1465" s="11" t="n">
        <x:v>128594.86</x:v>
      </x:c>
      <x:c r="I1465" s="11" t="n">
        <x:v>277239.62</x:v>
      </x:c>
    </x:row>
    <x:row r="1466">
      <x:c r="A1466" t="n">
        <x:v>2024</x:v>
      </x:c>
      <x:c r="B1466" t="str">
        <x:v>2024-08</x:v>
      </x:c>
      <x:c r="C1466" t="str">
        <x:v>Sparkling</x:v>
      </x:c>
      <x:c r="D1466" t="str">
        <x:v>Grocery</x:v>
      </x:c>
      <x:c r="E1466" t="str">
        <x:v>VIC</x:v>
      </x:c>
      <x:c r="F1466" s="11" t="n">
        <x:v>266620.5</x:v>
      </x:c>
      <x:c r="G1466" s="13" t="n">
        <x:v>75109</x:v>
      </x:c>
      <x:c r="H1466" s="11" t="n">
        <x:v>124759.8</x:v>
      </x:c>
      <x:c r="I1466" s="11" t="n">
        <x:v>268885.32</x:v>
      </x:c>
    </x:row>
    <x:row r="1467">
      <x:c r="A1467" t="n">
        <x:v>2024</x:v>
      </x:c>
      <x:c r="B1467" t="str">
        <x:v>2024-08</x:v>
      </x:c>
      <x:c r="C1467" t="str">
        <x:v>Sparkling</x:v>
      </x:c>
      <x:c r="D1467" t="str">
        <x:v>Hospitality</x:v>
      </x:c>
      <x:c r="E1467" t="str">
        <x:v>NSW</x:v>
      </x:c>
      <x:c r="F1467" s="11" t="n">
        <x:v>35684.19</x:v>
      </x:c>
      <x:c r="G1467" s="13" t="n">
        <x:v>10977</x:v>
      </x:c>
      <x:c r="H1467" s="11" t="n">
        <x:v>15013.36</x:v>
      </x:c>
      <x:c r="I1467" s="11" t="n">
        <x:v>36063.87</x:v>
      </x:c>
    </x:row>
    <x:row r="1468">
      <x:c r="A1468" t="n">
        <x:v>2024</x:v>
      </x:c>
      <x:c r="B1468" t="str">
        <x:v>2024-08</x:v>
      </x:c>
      <x:c r="C1468" t="str">
        <x:v>Sparkling</x:v>
      </x:c>
      <x:c r="D1468" t="str">
        <x:v>Hospitality</x:v>
      </x:c>
      <x:c r="E1468" t="str">
        <x:v>QLD</x:v>
      </x:c>
      <x:c r="F1468" s="11" t="n">
        <x:v>35607.81</x:v>
      </x:c>
      <x:c r="G1468" s="13" t="n">
        <x:v>10724</x:v>
      </x:c>
      <x:c r="H1468" s="11" t="n">
        <x:v>15426.36</x:v>
      </x:c>
      <x:c r="I1468" s="11" t="n">
        <x:v>34678.91</x:v>
      </x:c>
    </x:row>
    <x:row r="1469">
      <x:c r="A1469" t="n">
        <x:v>2024</x:v>
      </x:c>
      <x:c r="B1469" t="str">
        <x:v>2024-08</x:v>
      </x:c>
      <x:c r="C1469" t="str">
        <x:v>Sparkling</x:v>
      </x:c>
      <x:c r="D1469" t="str">
        <x:v>Hospitality</x:v>
      </x:c>
      <x:c r="E1469" t="str">
        <x:v>VIC</x:v>
      </x:c>
      <x:c r="F1469" s="11" t="n">
        <x:v>32885.9</x:v>
      </x:c>
      <x:c r="G1469" s="13" t="n">
        <x:v>9986</x:v>
      </x:c>
      <x:c r="H1469" s="11" t="n">
        <x:v>14144.41</x:v>
      </x:c>
      <x:c r="I1469" s="11" t="n">
        <x:v>33647.68</x:v>
      </x:c>
    </x:row>
    <x:row r="1470">
      <x:c r="A1470" t="n">
        <x:v>2024</x:v>
      </x:c>
      <x:c r="B1470" t="str">
        <x:v>2024-08</x:v>
      </x:c>
      <x:c r="C1470" t="str">
        <x:v>Sparkling</x:v>
      </x:c>
      <x:c r="D1470" t="str">
        <x:v>Independent retail</x:v>
      </x:c>
      <x:c r="E1470" t="str">
        <x:v>NSW</x:v>
      </x:c>
      <x:c r="F1470" s="11" t="n">
        <x:v>96953.33</x:v>
      </x:c>
      <x:c r="G1470" s="13" t="n">
        <x:v>26234</x:v>
      </x:c>
      <x:c r="H1470" s="11" t="n">
        <x:v>48067.75</x:v>
      </x:c>
      <x:c r="I1470" s="11" t="n">
        <x:v>98104.17</x:v>
      </x:c>
    </x:row>
    <x:row r="1471">
      <x:c r="A1471" t="n">
        <x:v>2024</x:v>
      </x:c>
      <x:c r="B1471" t="str">
        <x:v>2024-08</x:v>
      </x:c>
      <x:c r="C1471" t="str">
        <x:v>Sparkling</x:v>
      </x:c>
      <x:c r="D1471" t="str">
        <x:v>Independent retail</x:v>
      </x:c>
      <x:c r="E1471" t="str">
        <x:v>QLD</x:v>
      </x:c>
      <x:c r="F1471" s="11" t="n">
        <x:v>92445.64</x:v>
      </x:c>
      <x:c r="G1471" s="13" t="n">
        <x:v>25073</x:v>
      </x:c>
      <x:c r="H1471" s="11" t="n">
        <x:v>44805.44</x:v>
      </x:c>
      <x:c r="I1471" s="11" t="n">
        <x:v>94340.08</x:v>
      </x:c>
    </x:row>
    <x:row r="1472">
      <x:c r="A1472" t="n">
        <x:v>2024</x:v>
      </x:c>
      <x:c r="B1472" t="str">
        <x:v>2024-08</x:v>
      </x:c>
      <x:c r="C1472" t="str">
        <x:v>Sparkling</x:v>
      </x:c>
      <x:c r="D1472" t="str">
        <x:v>Independent retail</x:v>
      </x:c>
      <x:c r="E1472" t="str">
        <x:v>VIC</x:v>
      </x:c>
      <x:c r="F1472" s="11" t="n">
        <x:v>90802.08</x:v>
      </x:c>
      <x:c r="G1472" s="13" t="n">
        <x:v>24267</x:v>
      </x:c>
      <x:c r="H1472" s="11" t="n">
        <x:v>44880.82</x:v>
      </x:c>
      <x:c r="I1472" s="11" t="n">
        <x:v>91510.85</x:v>
      </x:c>
    </x:row>
    <x:row r="1473">
      <x:c r="A1473" t="n">
        <x:v>2024</x:v>
      </x:c>
      <x:c r="B1473" t="str">
        <x:v>2024-08</x:v>
      </x:c>
      <x:c r="C1473" t="str">
        <x:v>Sparkling</x:v>
      </x:c>
      <x:c r="D1473" t="str">
        <x:v>Petrol</x:v>
      </x:c>
      <x:c r="E1473" t="str">
        <x:v>NSW</x:v>
      </x:c>
      <x:c r="F1473" s="11" t="n">
        <x:v>104147.69</x:v>
      </x:c>
      <x:c r="G1473" s="13" t="n">
        <x:v>26011</x:v>
      </x:c>
      <x:c r="H1473" s="11" t="n">
        <x:v>54734.75</x:v>
      </x:c>
      <x:c r="I1473" s="11" t="n">
        <x:v>105737.09</x:v>
      </x:c>
    </x:row>
    <x:row r="1474">
      <x:c r="A1474" t="n">
        <x:v>2024</x:v>
      </x:c>
      <x:c r="B1474" t="str">
        <x:v>2024-08</x:v>
      </x:c>
      <x:c r="C1474" t="str">
        <x:v>Sparkling</x:v>
      </x:c>
      <x:c r="D1474" t="str">
        <x:v>Petrol</x:v>
      </x:c>
      <x:c r="E1474" t="str">
        <x:v>QLD</x:v>
      </x:c>
      <x:c r="F1474" s="11" t="n">
        <x:v>101848.16</x:v>
      </x:c>
      <x:c r="G1474" s="13" t="n">
        <x:v>25792</x:v>
      </x:c>
      <x:c r="H1474" s="11" t="n">
        <x:v>53167.090000000004</x:v>
      </x:c>
      <x:c r="I1474" s="11" t="n">
        <x:v>101660.46</x:v>
      </x:c>
    </x:row>
    <x:row r="1475">
      <x:c r="A1475" t="n">
        <x:v>2024</x:v>
      </x:c>
      <x:c r="B1475" t="str">
        <x:v>2024-08</x:v>
      </x:c>
      <x:c r="C1475" t="str">
        <x:v>Sparkling</x:v>
      </x:c>
      <x:c r="D1475" t="str">
        <x:v>Petrol</x:v>
      </x:c>
      <x:c r="E1475" t="str">
        <x:v>VIC</x:v>
      </x:c>
      <x:c r="F1475" s="11" t="n">
        <x:v>95893.03</x:v>
      </x:c>
      <x:c r="G1475" s="13" t="n">
        <x:v>24114</x:v>
      </x:c>
      <x:c r="H1475" s="11" t="n">
        <x:v>50033.52</x:v>
      </x:c>
      <x:c r="I1475" s="11" t="n">
        <x:v>98609.87</x:v>
      </x:c>
    </x:row>
    <x:row r="1476">
      <x:c r="A1476" t="n">
        <x:v>2024</x:v>
      </x:c>
      <x:c r="B1476" t="str">
        <x:v>2024-08</x:v>
      </x:c>
      <x:c r="C1476" t="str">
        <x:v>Sports</x:v>
      </x:c>
      <x:c r="D1476" t="str">
        <x:v>Convenience</x:v>
      </x:c>
      <x:c r="E1476" t="str">
        <x:v>NSW</x:v>
      </x:c>
      <x:c r="F1476" s="11" t="n">
        <x:v>64813.12</x:v>
      </x:c>
      <x:c r="G1476" s="13" t="n">
        <x:v>12650</x:v>
      </x:c>
      <x:c r="H1476" s="11" t="n">
        <x:v>34745.7</x:v>
      </x:c>
      <x:c r="I1476" s="11" t="n">
        <x:v>63992.78</x:v>
      </x:c>
    </x:row>
    <x:row r="1477">
      <x:c r="A1477" t="n">
        <x:v>2024</x:v>
      </x:c>
      <x:c r="B1477" t="str">
        <x:v>2024-08</x:v>
      </x:c>
      <x:c r="C1477" t="str">
        <x:v>Sports</x:v>
      </x:c>
      <x:c r="D1477" t="str">
        <x:v>Convenience</x:v>
      </x:c>
      <x:c r="E1477" t="str">
        <x:v>QLD</x:v>
      </x:c>
      <x:c r="F1477" s="11" t="n">
        <x:v>64339.05</x:v>
      </x:c>
      <x:c r="G1477" s="13" t="n">
        <x:v>12139</x:v>
      </x:c>
      <x:c r="H1477" s="11" t="n">
        <x:v>34624.97</x:v>
      </x:c>
      <x:c r="I1477" s="11" t="n">
        <x:v>61565.68</x:v>
      </x:c>
    </x:row>
    <x:row r="1478">
      <x:c r="A1478" t="n">
        <x:v>2024</x:v>
      </x:c>
      <x:c r="B1478" t="str">
        <x:v>2024-08</x:v>
      </x:c>
      <x:c r="C1478" t="str">
        <x:v>Sports</x:v>
      </x:c>
      <x:c r="D1478" t="str">
        <x:v>Convenience</x:v>
      </x:c>
      <x:c r="E1478" t="str">
        <x:v>VIC</x:v>
      </x:c>
      <x:c r="F1478" s="11" t="n">
        <x:v>62201.91</x:v>
      </x:c>
      <x:c r="G1478" s="13" t="n">
        <x:v>11783</x:v>
      </x:c>
      <x:c r="H1478" s="11" t="n">
        <x:v>33755.08</x:v>
      </x:c>
      <x:c r="I1478" s="11" t="n">
        <x:v>59706.05</x:v>
      </x:c>
    </x:row>
    <x:row r="1479">
      <x:c r="A1479" t="n">
        <x:v>2024</x:v>
      </x:c>
      <x:c r="B1479" t="str">
        <x:v>2024-08</x:v>
      </x:c>
      <x:c r="C1479" t="str">
        <x:v>Sports</x:v>
      </x:c>
      <x:c r="D1479" t="str">
        <x:v>Grocery</x:v>
      </x:c>
      <x:c r="E1479" t="str">
        <x:v>NSW</x:v>
      </x:c>
      <x:c r="F1479" s="11" t="n">
        <x:v>168524.95</x:v>
      </x:c>
      <x:c r="G1479" s="13" t="n">
        <x:v>39288</x:v>
      </x:c>
      <x:c r="H1479" s="11" t="n">
        <x:v>73403.8</x:v>
      </x:c>
      <x:c r="I1479" s="11" t="n">
        <x:v>158919.01</x:v>
      </x:c>
    </x:row>
    <x:row r="1480">
      <x:c r="A1480" t="n">
        <x:v>2024</x:v>
      </x:c>
      <x:c r="B1480" t="str">
        <x:v>2024-08</x:v>
      </x:c>
      <x:c r="C1480" t="str">
        <x:v>Sports</x:v>
      </x:c>
      <x:c r="D1480" t="str">
        <x:v>Grocery</x:v>
      </x:c>
      <x:c r="E1480" t="str">
        <x:v>QLD</x:v>
      </x:c>
      <x:c r="F1480" s="11" t="n">
        <x:v>160440</x:v>
      </x:c>
      <x:c r="G1480" s="13" t="n">
        <x:v>37146</x:v>
      </x:c>
      <x:c r="H1480" s="11" t="n">
        <x:v>71992.04</x:v>
      </x:c>
      <x:c r="I1480" s="11" t="n">
        <x:v>152819.76</x:v>
      </x:c>
    </x:row>
    <x:row r="1481">
      <x:c r="A1481" t="n">
        <x:v>2024</x:v>
      </x:c>
      <x:c r="B1481" t="str">
        <x:v>2024-08</x:v>
      </x:c>
      <x:c r="C1481" t="str">
        <x:v>Sports</x:v>
      </x:c>
      <x:c r="D1481" t="str">
        <x:v>Grocery</x:v>
      </x:c>
      <x:c r="E1481" t="str">
        <x:v>VIC</x:v>
      </x:c>
      <x:c r="F1481" s="11" t="n">
        <x:v>153766.76</x:v>
      </x:c>
      <x:c r="G1481" s="13" t="n">
        <x:v>35997</x:v>
      </x:c>
      <x:c r="H1481" s="11" t="n">
        <x:v>67318.55</x:v>
      </x:c>
      <x:c r="I1481" s="11" t="n">
        <x:v>148227.38</x:v>
      </x:c>
    </x:row>
    <x:row r="1482">
      <x:c r="A1482" t="n">
        <x:v>2024</x:v>
      </x:c>
      <x:c r="B1482" t="str">
        <x:v>2024-08</x:v>
      </x:c>
      <x:c r="C1482" t="str">
        <x:v>Sports</x:v>
      </x:c>
      <x:c r="D1482" t="str">
        <x:v>Hospitality</x:v>
      </x:c>
      <x:c r="E1482" t="str">
        <x:v>NSW</x:v>
      </x:c>
      <x:c r="F1482" s="11" t="n">
        <x:v>21028.6</x:v>
      </x:c>
      <x:c r="G1482" s="13" t="n">
        <x:v>5405</x:v>
      </x:c>
      <x:c r="H1482" s="11" t="n">
        <x:v>8173.09</x:v>
      </x:c>
      <x:c r="I1482" s="11" t="n">
        <x:v>19890.32</x:v>
      </x:c>
    </x:row>
    <x:row r="1483">
      <x:c r="A1483" t="n">
        <x:v>2024</x:v>
      </x:c>
      <x:c r="B1483" t="str">
        <x:v>2024-08</x:v>
      </x:c>
      <x:c r="C1483" t="str">
        <x:v>Sports</x:v>
      </x:c>
      <x:c r="D1483" t="str">
        <x:v>Hospitality</x:v>
      </x:c>
      <x:c r="E1483" t="str">
        <x:v>QLD</x:v>
      </x:c>
      <x:c r="F1483" s="11" t="n">
        <x:v>19825.6</x:v>
      </x:c>
      <x:c r="G1483" s="13" t="n">
        <x:v>4886</x:v>
      </x:c>
      <x:c r="H1483" s="11" t="n">
        <x:v>8221.66</x:v>
      </x:c>
      <x:c r="I1483" s="11" t="n">
        <x:v>19152.87</x:v>
      </x:c>
    </x:row>
    <x:row r="1484">
      <x:c r="A1484" t="n">
        <x:v>2024</x:v>
      </x:c>
      <x:c r="B1484" t="str">
        <x:v>2024-08</x:v>
      </x:c>
      <x:c r="C1484" t="str">
        <x:v>Sports</x:v>
      </x:c>
      <x:c r="D1484" t="str">
        <x:v>Hospitality</x:v>
      </x:c>
      <x:c r="E1484" t="str">
        <x:v>VIC</x:v>
      </x:c>
      <x:c r="F1484" s="11" t="n">
        <x:v>19783.39</x:v>
      </x:c>
      <x:c r="G1484" s="13" t="n">
        <x:v>4958</x:v>
      </x:c>
      <x:c r="H1484" s="11" t="n">
        <x:v>7969.6</x:v>
      </x:c>
      <x:c r="I1484" s="11" t="n">
        <x:v>18579.03</x:v>
      </x:c>
    </x:row>
    <x:row r="1485">
      <x:c r="A1485" t="n">
        <x:v>2024</x:v>
      </x:c>
      <x:c r="B1485" t="str">
        <x:v>2024-08</x:v>
      </x:c>
      <x:c r="C1485" t="str">
        <x:v>Sports</x:v>
      </x:c>
      <x:c r="D1485" t="str">
        <x:v>Independent retail</x:v>
      </x:c>
      <x:c r="E1485" t="str">
        <x:v>NSW</x:v>
      </x:c>
      <x:c r="F1485" s="11" t="n">
        <x:v>55508.64</x:v>
      </x:c>
      <x:c r="G1485" s="13" t="n">
        <x:v>11897</x:v>
      </x:c>
      <x:c r="H1485" s="11" t="n">
        <x:v>26880.57</x:v>
      </x:c>
      <x:c r="I1485" s="11" t="n">
        <x:v>54008.28</x:v>
      </x:c>
    </x:row>
    <x:row r="1486">
      <x:c r="A1486" t="n">
        <x:v>2024</x:v>
      </x:c>
      <x:c r="B1486" t="str">
        <x:v>2024-08</x:v>
      </x:c>
      <x:c r="C1486" t="str">
        <x:v>Sports</x:v>
      </x:c>
      <x:c r="D1486" t="str">
        <x:v>Independent retail</x:v>
      </x:c>
      <x:c r="E1486" t="str">
        <x:v>QLD</x:v>
      </x:c>
      <x:c r="F1486" s="11" t="n">
        <x:v>54197.62</x:v>
      </x:c>
      <x:c r="G1486" s="13" t="n">
        <x:v>11941</x:v>
      </x:c>
      <x:c r="H1486" s="11" t="n">
        <x:v>25236.36</x:v>
      </x:c>
      <x:c r="I1486" s="11" t="n">
        <x:v>51937.090000000004</x:v>
      </x:c>
    </x:row>
    <x:row r="1487">
      <x:c r="A1487" t="n">
        <x:v>2024</x:v>
      </x:c>
      <x:c r="B1487" t="str">
        <x:v>2024-08</x:v>
      </x:c>
      <x:c r="C1487" t="str">
        <x:v>Sports</x:v>
      </x:c>
      <x:c r="D1487" t="str">
        <x:v>Independent retail</x:v>
      </x:c>
      <x:c r="E1487" t="str">
        <x:v>VIC</x:v>
      </x:c>
      <x:c r="F1487" s="11" t="n">
        <x:v>53254.73</x:v>
      </x:c>
      <x:c r="G1487" s="13" t="n">
        <x:v>11411</x:v>
      </x:c>
      <x:c r="H1487" s="11" t="n">
        <x:v>25556.18</x:v>
      </x:c>
      <x:c r="I1487" s="11" t="n">
        <x:v>50376.13</x:v>
      </x:c>
    </x:row>
    <x:row r="1488">
      <x:c r="A1488" t="n">
        <x:v>2024</x:v>
      </x:c>
      <x:c r="B1488" t="str">
        <x:v>2024-08</x:v>
      </x:c>
      <x:c r="C1488" t="str">
        <x:v>Sports</x:v>
      </x:c>
      <x:c r="D1488" t="str">
        <x:v>Petrol</x:v>
      </x:c>
      <x:c r="E1488" t="str">
        <x:v>NSW</x:v>
      </x:c>
      <x:c r="F1488" s="11" t="n">
        <x:v>62824.9</x:v>
      </x:c>
      <x:c r="G1488" s="13" t="n">
        <x:v>12575</x:v>
      </x:c>
      <x:c r="H1488" s="11" t="n">
        <x:v>31943.829999999998</x:v>
      </x:c>
      <x:c r="I1488" s="11" t="n">
        <x:v>58570.5</x:v>
      </x:c>
    </x:row>
    <x:row r="1489">
      <x:c r="A1489" t="n">
        <x:v>2024</x:v>
      </x:c>
      <x:c r="B1489" t="str">
        <x:v>2024-08</x:v>
      </x:c>
      <x:c r="C1489" t="str">
        <x:v>Sports</x:v>
      </x:c>
      <x:c r="D1489" t="str">
        <x:v>Petrol</x:v>
      </x:c>
      <x:c r="E1489" t="str">
        <x:v>QLD</x:v>
      </x:c>
      <x:c r="F1489" s="11" t="n">
        <x:v>59074.29</x:v>
      </x:c>
      <x:c r="G1489" s="13" t="n">
        <x:v>12399</x:v>
      </x:c>
      <x:c r="H1489" s="11" t="n">
        <x:v>29248.61</x:v>
      </x:c>
      <x:c r="I1489" s="11" t="n">
        <x:v>56322.28</x:v>
      </x:c>
    </x:row>
    <x:row r="1490">
      <x:c r="A1490" t="n">
        <x:v>2024</x:v>
      </x:c>
      <x:c r="B1490" t="str">
        <x:v>2024-08</x:v>
      </x:c>
      <x:c r="C1490" t="str">
        <x:v>Sports</x:v>
      </x:c>
      <x:c r="D1490" t="str">
        <x:v>Petrol</x:v>
      </x:c>
      <x:c r="E1490" t="str">
        <x:v>VIC</x:v>
      </x:c>
      <x:c r="F1490" s="11" t="n">
        <x:v>55990.96</x:v>
      </x:c>
      <x:c r="G1490" s="13" t="n">
        <x:v>11543</x:v>
      </x:c>
      <x:c r="H1490" s="11" t="n">
        <x:v>27958.52</x:v>
      </x:c>
      <x:c r="I1490" s="11" t="n">
        <x:v>54621.71</x:v>
      </x:c>
    </x:row>
    <x:row r="1491">
      <x:c r="A1491" t="n">
        <x:v>2024</x:v>
      </x:c>
      <x:c r="B1491" t="str">
        <x:v>2024-08</x:v>
      </x:c>
      <x:c r="C1491" t="str">
        <x:v>Water</x:v>
      </x:c>
      <x:c r="D1491" t="str">
        <x:v>Convenience</x:v>
      </x:c>
      <x:c r="E1491" t="str">
        <x:v>NSW</x:v>
      </x:c>
      <x:c r="F1491" s="11" t="n">
        <x:v>78691.58</x:v>
      </x:c>
      <x:c r="G1491" s="13" t="n">
        <x:v>24875</x:v>
      </x:c>
      <x:c r="H1491" s="11" t="n">
        <x:v>37192.64</x:v>
      </x:c>
      <x:c r="I1491" s="11" t="n">
        <x:v>76283.45</x:v>
      </x:c>
    </x:row>
    <x:row r="1492">
      <x:c r="A1492" t="n">
        <x:v>2024</x:v>
      </x:c>
      <x:c r="B1492" t="str">
        <x:v>2024-08</x:v>
      </x:c>
      <x:c r="C1492" t="str">
        <x:v>Water</x:v>
      </x:c>
      <x:c r="D1492" t="str">
        <x:v>Convenience</x:v>
      </x:c>
      <x:c r="E1492" t="str">
        <x:v>QLD</x:v>
      </x:c>
      <x:c r="F1492" s="11" t="n">
        <x:v>72422.8</x:v>
      </x:c>
      <x:c r="G1492" s="13" t="n">
        <x:v>23077</x:v>
      </x:c>
      <x:c r="H1492" s="11" t="n">
        <x:v>34281.13</x:v>
      </x:c>
      <x:c r="I1492" s="11" t="n">
        <x:v>73349.73</x:v>
      </x:c>
    </x:row>
    <x:row r="1493">
      <x:c r="A1493" t="n">
        <x:v>2024</x:v>
      </x:c>
      <x:c r="B1493" t="str">
        <x:v>2024-08</x:v>
      </x:c>
      <x:c r="C1493" t="str">
        <x:v>Water</x:v>
      </x:c>
      <x:c r="D1493" t="str">
        <x:v>Convenience</x:v>
      </x:c>
      <x:c r="E1493" t="str">
        <x:v>VIC</x:v>
      </x:c>
      <x:c r="F1493" s="11" t="n">
        <x:v>70766.62</x:v>
      </x:c>
      <x:c r="G1493" s="13" t="n">
        <x:v>22563</x:v>
      </x:c>
      <x:c r="H1493" s="11" t="n">
        <x:v>33242.52</x:v>
      </x:c>
      <x:c r="I1493" s="11" t="n">
        <x:v>71153.92</x:v>
      </x:c>
    </x:row>
    <x:row r="1494">
      <x:c r="A1494" t="n">
        <x:v>2024</x:v>
      </x:c>
      <x:c r="B1494" t="str">
        <x:v>2024-08</x:v>
      </x:c>
      <x:c r="C1494" t="str">
        <x:v>Water</x:v>
      </x:c>
      <x:c r="D1494" t="str">
        <x:v>Grocery</x:v>
      </x:c>
      <x:c r="E1494" t="str">
        <x:v>NSW</x:v>
      </x:c>
      <x:c r="F1494" s="11" t="n">
        <x:v>186202.71</x:v>
      </x:c>
      <x:c r="G1494" s="13" t="n">
        <x:v>65935</x:v>
      </x:c>
      <x:c r="H1494" s="11" t="n">
        <x:v>77630.18</x:v>
      </x:c>
      <x:c r="I1494" s="11" t="n">
        <x:v>190142.98</x:v>
      </x:c>
    </x:row>
    <x:row r="1495">
      <x:c r="A1495" t="n">
        <x:v>2024</x:v>
      </x:c>
      <x:c r="B1495" t="str">
        <x:v>2024-08</x:v>
      </x:c>
      <x:c r="C1495" t="str">
        <x:v>Water</x:v>
      </x:c>
      <x:c r="D1495" t="str">
        <x:v>Grocery</x:v>
      </x:c>
      <x:c r="E1495" t="str">
        <x:v>QLD</x:v>
      </x:c>
      <x:c r="F1495" s="11" t="n">
        <x:v>182300.2</x:v>
      </x:c>
      <x:c r="G1495" s="13" t="n">
        <x:v>64853</x:v>
      </x:c>
      <x:c r="H1495" s="11" t="n">
        <x:v>73182.21</x:v>
      </x:c>
      <x:c r="I1495" s="11" t="n">
        <x:v>182844.84</x:v>
      </x:c>
    </x:row>
    <x:row r="1496">
      <x:c r="A1496" t="n">
        <x:v>2024</x:v>
      </x:c>
      <x:c r="B1496" t="str">
        <x:v>2024-08</x:v>
      </x:c>
      <x:c r="C1496" t="str">
        <x:v>Water</x:v>
      </x:c>
      <x:c r="D1496" t="str">
        <x:v>Grocery</x:v>
      </x:c>
      <x:c r="E1496" t="str">
        <x:v>VIC</x:v>
      </x:c>
      <x:c r="F1496" s="11" t="n">
        <x:v>175246.37</x:v>
      </x:c>
      <x:c r="G1496" s="13" t="n">
        <x:v>61385</x:v>
      </x:c>
      <x:c r="H1496" s="11" t="n">
        <x:v>72441.93</x:v>
      </x:c>
      <x:c r="I1496" s="11" t="n">
        <x:v>177339.01</x:v>
      </x:c>
    </x:row>
    <x:row r="1497">
      <x:c r="A1497" t="n">
        <x:v>2024</x:v>
      </x:c>
      <x:c r="B1497" t="str">
        <x:v>2024-08</x:v>
      </x:c>
      <x:c r="C1497" t="str">
        <x:v>Water</x:v>
      </x:c>
      <x:c r="D1497" t="str">
        <x:v>Hospitality</x:v>
      </x:c>
      <x:c r="E1497" t="str">
        <x:v>NSW</x:v>
      </x:c>
      <x:c r="F1497" s="11" t="n">
        <x:v>24225.55</x:v>
      </x:c>
      <x:c r="G1497" s="13" t="n">
        <x:v>9243</x:v>
      </x:c>
      <x:c r="H1497" s="11" t="n">
        <x:v>8806.77</x:v>
      </x:c>
      <x:c r="I1497" s="11" t="n">
        <x:v>23797.920000000002</x:v>
      </x:c>
    </x:row>
    <x:row r="1498">
      <x:c r="A1498" t="n">
        <x:v>2024</x:v>
      </x:c>
      <x:c r="B1498" t="str">
        <x:v>2024-08</x:v>
      </x:c>
      <x:c r="C1498" t="str">
        <x:v>Water</x:v>
      </x:c>
      <x:c r="D1498" t="str">
        <x:v>Hospitality</x:v>
      </x:c>
      <x:c r="E1498" t="str">
        <x:v>QLD</x:v>
      </x:c>
      <x:c r="F1498" s="11" t="n">
        <x:v>22590.15</x:v>
      </x:c>
      <x:c r="G1498" s="13" t="n">
        <x:v>9001</x:v>
      </x:c>
      <x:c r="H1498" s="11" t="n">
        <x:v>7624.35</x:v>
      </x:c>
      <x:c r="I1498" s="11" t="n">
        <x:v>22889.25</x:v>
      </x:c>
    </x:row>
    <x:row r="1499">
      <x:c r="A1499" t="n">
        <x:v>2024</x:v>
      </x:c>
      <x:c r="B1499" t="str">
        <x:v>2024-08</x:v>
      </x:c>
      <x:c r="C1499" t="str">
        <x:v>Water</x:v>
      </x:c>
      <x:c r="D1499" t="str">
        <x:v>Hospitality</x:v>
      </x:c>
      <x:c r="E1499" t="str">
        <x:v>VIC</x:v>
      </x:c>
      <x:c r="F1499" s="11" t="n">
        <x:v>22483.85</x:v>
      </x:c>
      <x:c r="G1499" s="13" t="n">
        <x:v>8718</x:v>
      </x:c>
      <x:c r="H1499" s="11" t="n">
        <x:v>7844.11</x:v>
      </x:c>
      <x:c r="I1499" s="11" t="n">
        <x:v>22217.15</x:v>
      </x:c>
    </x:row>
    <x:row r="1500">
      <x:c r="A1500" t="n">
        <x:v>2024</x:v>
      </x:c>
      <x:c r="B1500" t="str">
        <x:v>2024-08</x:v>
      </x:c>
      <x:c r="C1500" t="str">
        <x:v>Water</x:v>
      </x:c>
      <x:c r="D1500" t="str">
        <x:v>Independent retail</x:v>
      </x:c>
      <x:c r="E1500" t="str">
        <x:v>NSW</x:v>
      </x:c>
      <x:c r="F1500" s="11" t="n">
        <x:v>64446.67</x:v>
      </x:c>
      <x:c r="G1500" s="13" t="n">
        <x:v>23405</x:v>
      </x:c>
      <x:c r="H1500" s="11" t="n">
        <x:v>25894.62</x:v>
      </x:c>
      <x:c r="I1500" s="11" t="n">
        <x:v>64729.21</x:v>
      </x:c>
    </x:row>
    <x:row r="1501">
      <x:c r="A1501" t="n">
        <x:v>2024</x:v>
      </x:c>
      <x:c r="B1501" t="str">
        <x:v>2024-08</x:v>
      </x:c>
      <x:c r="C1501" t="str">
        <x:v>Water</x:v>
      </x:c>
      <x:c r="D1501" t="str">
        <x:v>Independent retail</x:v>
      </x:c>
      <x:c r="E1501" t="str">
        <x:v>QLD</x:v>
      </x:c>
      <x:c r="F1501" s="11" t="n">
        <x:v>61585.67</x:v>
      </x:c>
      <x:c r="G1501" s="13" t="n">
        <x:v>21722</x:v>
      </x:c>
      <x:c r="H1501" s="11" t="n">
        <x:v>25711.51</x:v>
      </x:c>
      <x:c r="I1501" s="11" t="n">
        <x:v>62234.51</x:v>
      </x:c>
    </x:row>
    <x:row r="1502">
      <x:c r="A1502" t="n">
        <x:v>2024</x:v>
      </x:c>
      <x:c r="B1502" t="str">
        <x:v>2024-08</x:v>
      </x:c>
      <x:c r="C1502" t="str">
        <x:v>Water</x:v>
      </x:c>
      <x:c r="D1502" t="str">
        <x:v>Independent retail</x:v>
      </x:c>
      <x:c r="E1502" t="str">
        <x:v>VIC</x:v>
      </x:c>
      <x:c r="F1502" s="11" t="n">
        <x:v>59262.42</x:v>
      </x:c>
      <x:c r="G1502" s="13" t="n">
        <x:v>21279</x:v>
      </x:c>
      <x:c r="H1502" s="11" t="n">
        <x:v>24071.33</x:v>
      </x:c>
      <x:c r="I1502" s="11" t="n">
        <x:v>60370.38</x:v>
      </x:c>
    </x:row>
    <x:row r="1503">
      <x:c r="A1503" t="n">
        <x:v>2024</x:v>
      </x:c>
      <x:c r="B1503" t="str">
        <x:v>2024-08</x:v>
      </x:c>
      <x:c r="C1503" t="str">
        <x:v>Water</x:v>
      </x:c>
      <x:c r="D1503" t="str">
        <x:v>Petrol</x:v>
      </x:c>
      <x:c r="E1503" t="str">
        <x:v>NSW</x:v>
      </x:c>
      <x:c r="F1503" s="11" t="n">
        <x:v>70697.73</x:v>
      </x:c>
      <x:c r="G1503" s="13" t="n">
        <x:v>23029</x:v>
      </x:c>
      <x:c r="H1503" s="11" t="n">
        <x:v>32732.06</x:v>
      </x:c>
      <x:c r="I1503" s="11" t="n">
        <x:v>69603.41</x:v>
      </x:c>
    </x:row>
    <x:row r="1504">
      <x:c r="A1504" t="n">
        <x:v>2024</x:v>
      </x:c>
      <x:c r="B1504" t="str">
        <x:v>2024-08</x:v>
      </x:c>
      <x:c r="C1504" t="str">
        <x:v>Water</x:v>
      </x:c>
      <x:c r="D1504" t="str">
        <x:v>Petrol</x:v>
      </x:c>
      <x:c r="E1504" t="str">
        <x:v>QLD</x:v>
      </x:c>
      <x:c r="F1504" s="11" t="n">
        <x:v>66913.96</x:v>
      </x:c>
      <x:c r="G1504" s="13" t="n">
        <x:v>21056</x:v>
      </x:c>
      <x:c r="H1504" s="11" t="n">
        <x:v>32092.12</x:v>
      </x:c>
      <x:c r="I1504" s="11" t="n">
        <x:v>66934.86</x:v>
      </x:c>
    </x:row>
    <x:row r="1505">
      <x:c r="A1505" t="n">
        <x:v>2024</x:v>
      </x:c>
      <x:c r="B1505" t="str">
        <x:v>2024-08</x:v>
      </x:c>
      <x:c r="C1505" t="str">
        <x:v>Water</x:v>
      </x:c>
      <x:c r="D1505" t="str">
        <x:v>Petrol</x:v>
      </x:c>
      <x:c r="E1505" t="str">
        <x:v>VIC</x:v>
      </x:c>
      <x:c r="F1505" s="11" t="n">
        <x:v>63674.72</x:v>
      </x:c>
      <x:c r="G1505" s="13" t="n">
        <x:v>20286</x:v>
      </x:c>
      <x:c r="H1505" s="11" t="n">
        <x:v>30162.56</x:v>
      </x:c>
      <x:c r="I1505" s="11" t="n">
        <x:v>64929.58</x:v>
      </x:c>
    </x:row>
    <x:row r="1506">
      <x:c r="A1506" t="n">
        <x:v>2024</x:v>
      </x:c>
      <x:c r="B1506" t="str">
        <x:v>2024-09</x:v>
      </x:c>
      <x:c r="C1506" t="str">
        <x:v>Coffee</x:v>
      </x:c>
      <x:c r="D1506" t="str">
        <x:v>Convenience</x:v>
      </x:c>
      <x:c r="E1506" t="str">
        <x:v>NSW</x:v>
      </x:c>
      <x:c r="F1506" s="11" t="n">
        <x:v>30604.18</x:v>
      </x:c>
      <x:c r="G1506" s="13" t="n">
        <x:v>4580</x:v>
      </x:c>
      <x:c r="H1506" s="11" t="n">
        <x:v>13870.74</x:v>
      </x:c>
      <x:c r="I1506" s="11" t="n">
        <x:v>41859.99</x:v>
      </x:c>
    </x:row>
    <x:row r="1507">
      <x:c r="A1507" t="n">
        <x:v>2024</x:v>
      </x:c>
      <x:c r="B1507" t="str">
        <x:v>2024-09</x:v>
      </x:c>
      <x:c r="C1507" t="str">
        <x:v>Coffee</x:v>
      </x:c>
      <x:c r="D1507" t="str">
        <x:v>Convenience</x:v>
      </x:c>
      <x:c r="E1507" t="str">
        <x:v>QLD</x:v>
      </x:c>
      <x:c r="F1507" s="11" t="n">
        <x:v>29089.42</x:v>
      </x:c>
      <x:c r="G1507" s="13" t="n">
        <x:v>4368</x:v>
      </x:c>
      <x:c r="H1507" s="11" t="n">
        <x:v>13038.56</x:v>
      </x:c>
      <x:c r="I1507" s="11" t="n">
        <x:v>40236.979999999996</x:v>
      </x:c>
    </x:row>
    <x:row r="1508">
      <x:c r="A1508" t="n">
        <x:v>2024</x:v>
      </x:c>
      <x:c r="B1508" t="str">
        <x:v>2024-09</x:v>
      </x:c>
      <x:c r="C1508" t="str">
        <x:v>Coffee</x:v>
      </x:c>
      <x:c r="D1508" t="str">
        <x:v>Convenience</x:v>
      </x:c>
      <x:c r="E1508" t="str">
        <x:v>VIC</x:v>
      </x:c>
      <x:c r="F1508" s="11" t="n">
        <x:v>28586.31</x:v>
      </x:c>
      <x:c r="G1508" s="13" t="n">
        <x:v>4181</x:v>
      </x:c>
      <x:c r="H1508" s="11" t="n">
        <x:v>13045.61</x:v>
      </x:c>
      <x:c r="I1508" s="11" t="n">
        <x:v>39025.01</x:v>
      </x:c>
    </x:row>
    <x:row r="1509">
      <x:c r="A1509" t="n">
        <x:v>2024</x:v>
      </x:c>
      <x:c r="B1509" t="str">
        <x:v>2024-09</x:v>
      </x:c>
      <x:c r="C1509" t="str">
        <x:v>Coffee</x:v>
      </x:c>
      <x:c r="D1509" t="str">
        <x:v>Grocery</x:v>
      </x:c>
      <x:c r="E1509" t="str">
        <x:v>NSW</x:v>
      </x:c>
      <x:c r="F1509" s="11" t="n">
        <x:v>76679.63</x:v>
      </x:c>
      <x:c r="G1509" s="13" t="n">
        <x:v>13891</x:v>
      </x:c>
      <x:c r="H1509" s="11" t="n">
        <x:v>25714.69</x:v>
      </x:c>
      <x:c r="I1509" s="11" t="n">
        <x:v>103963.51</x:v>
      </x:c>
    </x:row>
    <x:row r="1510">
      <x:c r="A1510" t="n">
        <x:v>2024</x:v>
      </x:c>
      <x:c r="B1510" t="str">
        <x:v>2024-09</x:v>
      </x:c>
      <x:c r="C1510" t="str">
        <x:v>Coffee</x:v>
      </x:c>
      <x:c r="D1510" t="str">
        <x:v>Grocery</x:v>
      </x:c>
      <x:c r="E1510" t="str">
        <x:v>QLD</x:v>
      </x:c>
      <x:c r="F1510" s="11" t="n">
        <x:v>73570.5</x:v>
      </x:c>
      <x:c r="G1510" s="13" t="n">
        <x:v>12839</x:v>
      </x:c>
      <x:c r="H1510" s="11" t="n">
        <x:v>26233.15</x:v>
      </x:c>
      <x:c r="I1510" s="11" t="n">
        <x:v>100010.99</x:v>
      </x:c>
    </x:row>
    <x:row r="1511">
      <x:c r="A1511" t="n">
        <x:v>2024</x:v>
      </x:c>
      <x:c r="B1511" t="str">
        <x:v>2024-09</x:v>
      </x:c>
      <x:c r="C1511" t="str">
        <x:v>Coffee</x:v>
      </x:c>
      <x:c r="D1511" t="str">
        <x:v>Grocery</x:v>
      </x:c>
      <x:c r="E1511" t="str">
        <x:v>VIC</x:v>
      </x:c>
      <x:c r="F1511" s="11" t="n">
        <x:v>69980.11</x:v>
      </x:c>
      <x:c r="G1511" s="13" t="n">
        <x:v>12543</x:v>
      </x:c>
      <x:c r="H1511" s="11" t="n">
        <x:v>24027.09</x:v>
      </x:c>
      <x:c r="I1511" s="11" t="n">
        <x:v>96946.57</x:v>
      </x:c>
    </x:row>
    <x:row r="1512">
      <x:c r="A1512" t="n">
        <x:v>2024</x:v>
      </x:c>
      <x:c r="B1512" t="str">
        <x:v>2024-09</x:v>
      </x:c>
      <x:c r="C1512" t="str">
        <x:v>Coffee</x:v>
      </x:c>
      <x:c r="D1512" t="str">
        <x:v>Hospitality</x:v>
      </x:c>
      <x:c r="E1512" t="str">
        <x:v>NSW</x:v>
      </x:c>
      <x:c r="F1512" s="11" t="n">
        <x:v>9886.35</x:v>
      </x:c>
      <x:c r="G1512" s="13" t="n">
        <x:v>1930</x:v>
      </x:c>
      <x:c r="H1512" s="11" t="n">
        <x:v>2838</x:v>
      </x:c>
      <x:c r="I1512" s="11" t="n">
        <x:v>13151.48</x:v>
      </x:c>
    </x:row>
    <x:row r="1513">
      <x:c r="A1513" t="n">
        <x:v>2024</x:v>
      </x:c>
      <x:c r="B1513" t="str">
        <x:v>2024-09</x:v>
      </x:c>
      <x:c r="C1513" t="str">
        <x:v>Coffee</x:v>
      </x:c>
      <x:c r="D1513" t="str">
        <x:v>Hospitality</x:v>
      </x:c>
      <x:c r="E1513" t="str">
        <x:v>QLD</x:v>
      </x:c>
      <x:c r="F1513" s="11" t="n">
        <x:v>9472.05</x:v>
      </x:c>
      <x:c r="G1513" s="13" t="n">
        <x:v>1778</x:v>
      </x:c>
      <x:c r="H1513" s="11" t="n">
        <x:v>2943.09</x:v>
      </x:c>
      <x:c r="I1513" s="11" t="n">
        <x:v>12571.14</x:v>
      </x:c>
    </x:row>
    <x:row r="1514">
      <x:c r="A1514" t="n">
        <x:v>2024</x:v>
      </x:c>
      <x:c r="B1514" t="str">
        <x:v>2024-09</x:v>
      </x:c>
      <x:c r="C1514" t="str">
        <x:v>Coffee</x:v>
      </x:c>
      <x:c r="D1514" t="str">
        <x:v>Hospitality</x:v>
      </x:c>
      <x:c r="E1514" t="str">
        <x:v>VIC</x:v>
      </x:c>
      <x:c r="F1514" s="11" t="n">
        <x:v>9083.81</x:v>
      </x:c>
      <x:c r="G1514" s="13" t="n">
        <x:v>1733</x:v>
      </x:c>
      <x:c r="H1514" s="11" t="n">
        <x:v>2732.98</x:v>
      </x:c>
      <x:c r="I1514" s="11" t="n">
        <x:v>12251.85</x:v>
      </x:c>
    </x:row>
    <x:row r="1515">
      <x:c r="A1515" t="n">
        <x:v>2024</x:v>
      </x:c>
      <x:c r="B1515" t="str">
        <x:v>2024-09</x:v>
      </x:c>
      <x:c r="C1515" t="str">
        <x:v>Coffee</x:v>
      </x:c>
      <x:c r="D1515" t="str">
        <x:v>Independent retail</x:v>
      </x:c>
      <x:c r="E1515" t="str">
        <x:v>NSW</x:v>
      </x:c>
      <x:c r="F1515" s="11" t="n">
        <x:v>25900.88</x:v>
      </x:c>
      <x:c r="G1515" s="13" t="n">
        <x:v>4300</x:v>
      </x:c>
      <x:c r="H1515" s="11" t="n">
        <x:v>10021.09</x:v>
      </x:c>
      <x:c r="I1515" s="11" t="n">
        <x:v>35321.840000000004</x:v>
      </x:c>
    </x:row>
    <x:row r="1516">
      <x:c r="A1516" t="n">
        <x:v>2024</x:v>
      </x:c>
      <x:c r="B1516" t="str">
        <x:v>2024-09</x:v>
      </x:c>
      <x:c r="C1516" t="str">
        <x:v>Coffee</x:v>
      </x:c>
      <x:c r="D1516" t="str">
        <x:v>Independent retail</x:v>
      </x:c>
      <x:c r="E1516" t="str">
        <x:v>QLD</x:v>
      </x:c>
      <x:c r="F1516" s="11" t="n">
        <x:v>24957.8</x:v>
      </x:c>
      <x:c r="G1516" s="13" t="n">
        <x:v>4230</x:v>
      </x:c>
      <x:c r="H1516" s="11" t="n">
        <x:v>9184.89</x:v>
      </x:c>
      <x:c r="I1516" s="11" t="n">
        <x:v>33968.96</x:v>
      </x:c>
    </x:row>
    <x:row r="1517">
      <x:c r="A1517" t="n">
        <x:v>2024</x:v>
      </x:c>
      <x:c r="B1517" t="str">
        <x:v>2024-09</x:v>
      </x:c>
      <x:c r="C1517" t="str">
        <x:v>Coffee</x:v>
      </x:c>
      <x:c r="D1517" t="str">
        <x:v>Independent retail</x:v>
      </x:c>
      <x:c r="E1517" t="str">
        <x:v>VIC</x:v>
      </x:c>
      <x:c r="F1517" s="11" t="n">
        <x:v>24500.34</x:v>
      </x:c>
      <x:c r="G1517" s="13" t="n">
        <x:v>4105</x:v>
      </x:c>
      <x:c r="H1517" s="11" t="n">
        <x:v>9270.79</x:v>
      </x:c>
      <x:c r="I1517" s="11" t="n">
        <x:v>32956.91</x:v>
      </x:c>
    </x:row>
    <x:row r="1518">
      <x:c r="A1518" t="n">
        <x:v>2024</x:v>
      </x:c>
      <x:c r="B1518" t="str">
        <x:v>2024-09</x:v>
      </x:c>
      <x:c r="C1518" t="str">
        <x:v>Coffee</x:v>
      </x:c>
      <x:c r="D1518" t="str">
        <x:v>Petrol</x:v>
      </x:c>
      <x:c r="E1518" t="str">
        <x:v>NSW</x:v>
      </x:c>
      <x:c r="F1518" s="11" t="n">
        <x:v>28512.25</x:v>
      </x:c>
      <x:c r="G1518" s="13" t="n">
        <x:v>4468</x:v>
      </x:c>
      <x:c r="H1518" s="11" t="n">
        <x:v>11906.62</x:v>
      </x:c>
      <x:c r="I1518" s="11" t="n">
        <x:v>38112.22</x:v>
      </x:c>
    </x:row>
    <x:row r="1519">
      <x:c r="A1519" t="n">
        <x:v>2024</x:v>
      </x:c>
      <x:c r="B1519" t="str">
        <x:v>2024-09</x:v>
      </x:c>
      <x:c r="C1519" t="str">
        <x:v>Coffee</x:v>
      </x:c>
      <x:c r="D1519" t="str">
        <x:v>Petrol</x:v>
      </x:c>
      <x:c r="E1519" t="str">
        <x:v>QLD</x:v>
      </x:c>
      <x:c r="F1519" s="11" t="n">
        <x:v>26540.96</x:v>
      </x:c>
      <x:c r="G1519" s="13" t="n">
        <x:v>4277</x:v>
      </x:c>
      <x:c r="H1519" s="11" t="n">
        <x:v>10843.83</x:v>
      </x:c>
      <x:c r="I1519" s="11" t="n">
        <x:v>36654.44</x:v>
      </x:c>
    </x:row>
    <x:row r="1520">
      <x:c r="A1520" t="n">
        <x:v>2024</x:v>
      </x:c>
      <x:c r="B1520" t="str">
        <x:v>2024-09</x:v>
      </x:c>
      <x:c r="C1520" t="str">
        <x:v>Coffee</x:v>
      </x:c>
      <x:c r="D1520" t="str">
        <x:v>Petrol</x:v>
      </x:c>
      <x:c r="E1520" t="str">
        <x:v>VIC</x:v>
      </x:c>
      <x:c r="F1520" s="11" t="n">
        <x:v>26541.49</x:v>
      </x:c>
      <x:c r="G1520" s="13" t="n">
        <x:v>4228</x:v>
      </x:c>
      <x:c r="H1520" s="11" t="n">
        <x:v>10906.48</x:v>
      </x:c>
      <x:c r="I1520" s="11" t="n">
        <x:v>35574.81</x:v>
      </x:c>
    </x:row>
    <x:row r="1521">
      <x:c r="A1521" t="n">
        <x:v>2024</x:v>
      </x:c>
      <x:c r="B1521" t="str">
        <x:v>2024-09</x:v>
      </x:c>
      <x:c r="C1521" t="str">
        <x:v>Energy</x:v>
      </x:c>
      <x:c r="D1521" t="str">
        <x:v>Convenience</x:v>
      </x:c>
      <x:c r="E1521" t="str">
        <x:v>NSW</x:v>
      </x:c>
      <x:c r="F1521" s="11" t="n">
        <x:v>84057.63</x:v>
      </x:c>
      <x:c r="G1521" s="13" t="n">
        <x:v>14890</x:v>
      </x:c>
      <x:c r="H1521" s="11" t="n">
        <x:v>50817.54</x:v>
      </x:c>
      <x:c r="I1521" s="11" t="n">
        <x:v>115625.59</x:v>
      </x:c>
    </x:row>
    <x:row r="1522">
      <x:c r="A1522" t="n">
        <x:v>2024</x:v>
      </x:c>
      <x:c r="B1522" t="str">
        <x:v>2024-09</x:v>
      </x:c>
      <x:c r="C1522" t="str">
        <x:v>Energy</x:v>
      </x:c>
      <x:c r="D1522" t="str">
        <x:v>Convenience</x:v>
      </x:c>
      <x:c r="E1522" t="str">
        <x:v>QLD</x:v>
      </x:c>
      <x:c r="F1522" s="11" t="n">
        <x:v>84751.62</x:v>
      </x:c>
      <x:c r="G1522" s="13" t="n">
        <x:v>15331</x:v>
      </x:c>
      <x:c r="H1522" s="11" t="n">
        <x:v>50552.590000000004</x:v>
      </x:c>
      <x:c r="I1522" s="11" t="n">
        <x:v>111167.95</x:v>
      </x:c>
    </x:row>
    <x:row r="1523">
      <x:c r="A1523" t="n">
        <x:v>2024</x:v>
      </x:c>
      <x:c r="B1523" t="str">
        <x:v>2024-09</x:v>
      </x:c>
      <x:c r="C1523" t="str">
        <x:v>Energy</x:v>
      </x:c>
      <x:c r="D1523" t="str">
        <x:v>Convenience</x:v>
      </x:c>
      <x:c r="E1523" t="str">
        <x:v>VIC</x:v>
      </x:c>
      <x:c r="F1523" s="11" t="n">
        <x:v>80136.28</x:v>
      </x:c>
      <x:c r="G1523" s="13" t="n">
        <x:v>14480</x:v>
      </x:c>
      <x:c r="H1523" s="11" t="n">
        <x:v>48101.07</x:v>
      </x:c>
      <x:c r="I1523" s="11" t="n">
        <x:v>107838.48</x:v>
      </x:c>
    </x:row>
    <x:row r="1524">
      <x:c r="A1524" t="n">
        <x:v>2024</x:v>
      </x:c>
      <x:c r="B1524" t="str">
        <x:v>2024-09</x:v>
      </x:c>
      <x:c r="C1524" t="str">
        <x:v>Energy</x:v>
      </x:c>
      <x:c r="D1524" t="str">
        <x:v>Grocery</x:v>
      </x:c>
      <x:c r="E1524" t="str">
        <x:v>NSW</x:v>
      </x:c>
      <x:c r="F1524" s="11" t="n">
        <x:v>320943.75</x:v>
      </x:c>
      <x:c r="G1524" s="13" t="n">
        <x:v>66490</x:v>
      </x:c>
      <x:c r="H1524" s="11" t="n">
        <x:v>174855.54</x:v>
      </x:c>
      <x:c r="I1524" s="11" t="n">
        <x:v>287844.27</x:v>
      </x:c>
    </x:row>
    <x:row r="1525">
      <x:c r="A1525" t="n">
        <x:v>2024</x:v>
      </x:c>
      <x:c r="B1525" t="str">
        <x:v>2024-09</x:v>
      </x:c>
      <x:c r="C1525" t="str">
        <x:v>Energy</x:v>
      </x:c>
      <x:c r="D1525" t="str">
        <x:v>Grocery</x:v>
      </x:c>
      <x:c r="E1525" t="str">
        <x:v>QLD</x:v>
      </x:c>
      <x:c r="F1525" s="11" t="n">
        <x:v>317355.11</x:v>
      </x:c>
      <x:c r="G1525" s="13" t="n">
        <x:v>64528</x:v>
      </x:c>
      <x:c r="H1525" s="11" t="n">
        <x:v>173731.42</x:v>
      </x:c>
      <x:c r="I1525" s="11" t="n">
        <x:v>276775.62</x:v>
      </x:c>
    </x:row>
    <x:row r="1526">
      <x:c r="A1526" t="n">
        <x:v>2024</x:v>
      </x:c>
      <x:c r="B1526" t="str">
        <x:v>2024-09</x:v>
      </x:c>
      <x:c r="C1526" t="str">
        <x:v>Energy</x:v>
      </x:c>
      <x:c r="D1526" t="str">
        <x:v>Grocery</x:v>
      </x:c>
      <x:c r="E1526" t="str">
        <x:v>VIC</x:v>
      </x:c>
      <x:c r="F1526" s="11" t="n">
        <x:v>302321.01</x:v>
      </x:c>
      <x:c r="G1526" s="13" t="n">
        <x:v>62766</x:v>
      </x:c>
      <x:c r="H1526" s="11" t="n">
        <x:v>164989.06</x:v>
      </x:c>
      <x:c r="I1526" s="11" t="n">
        <x:v>268435.57</x:v>
      </x:c>
    </x:row>
    <x:row r="1527">
      <x:c r="A1527" t="n">
        <x:v>2024</x:v>
      </x:c>
      <x:c r="B1527" t="str">
        <x:v>2024-09</x:v>
      </x:c>
      <x:c r="C1527" t="str">
        <x:v>Energy</x:v>
      </x:c>
      <x:c r="D1527" t="str">
        <x:v>Hospitality</x:v>
      </x:c>
      <x:c r="E1527" t="str">
        <x:v>NSW</x:v>
      </x:c>
      <x:c r="F1527" s="11" t="n">
        <x:v>41378.95</x:v>
      </x:c>
      <x:c r="G1527" s="13" t="n">
        <x:v>9337</x:v>
      </x:c>
      <x:c r="H1527" s="11" t="n">
        <x:v>20942.66</x:v>
      </x:c>
      <x:c r="I1527" s="11" t="n">
        <x:v>36084.1</x:v>
      </x:c>
    </x:row>
    <x:row r="1528">
      <x:c r="A1528" t="n">
        <x:v>2024</x:v>
      </x:c>
      <x:c r="B1528" t="str">
        <x:v>2024-09</x:v>
      </x:c>
      <x:c r="C1528" t="str">
        <x:v>Energy</x:v>
      </x:c>
      <x:c r="D1528" t="str">
        <x:v>Hospitality</x:v>
      </x:c>
      <x:c r="E1528" t="str">
        <x:v>QLD</x:v>
      </x:c>
      <x:c r="F1528" s="11" t="n">
        <x:v>40027.49</x:v>
      </x:c>
      <x:c r="G1528" s="13" t="n">
        <x:v>8947</x:v>
      </x:c>
      <x:c r="H1528" s="11" t="n">
        <x:v>20037.35</x:v>
      </x:c>
      <x:c r="I1528" s="11" t="n">
        <x:v>34683.83</x:v>
      </x:c>
    </x:row>
    <x:row r="1529">
      <x:c r="A1529" t="n">
        <x:v>2024</x:v>
      </x:c>
      <x:c r="B1529" t="str">
        <x:v>2024-09</x:v>
      </x:c>
      <x:c r="C1529" t="str">
        <x:v>Energy</x:v>
      </x:c>
      <x:c r="D1529" t="str">
        <x:v>Hospitality</x:v>
      </x:c>
      <x:c r="E1529" t="str">
        <x:v>VIC</x:v>
      </x:c>
      <x:c r="F1529" s="11" t="n">
        <x:v>37561.82</x:v>
      </x:c>
      <x:c r="G1529" s="13" t="n">
        <x:v>8324</x:v>
      </x:c>
      <x:c r="H1529" s="11" t="n">
        <x:v>19088.36</x:v>
      </x:c>
      <x:c r="I1529" s="11" t="n">
        <x:v>33649.8</x:v>
      </x:c>
    </x:row>
    <x:row r="1530">
      <x:c r="A1530" t="n">
        <x:v>2024</x:v>
      </x:c>
      <x:c r="B1530" t="str">
        <x:v>2024-09</x:v>
      </x:c>
      <x:c r="C1530" t="str">
        <x:v>Energy</x:v>
      </x:c>
      <x:c r="D1530" t="str">
        <x:v>Independent retail</x:v>
      </x:c>
      <x:c r="E1530" t="str">
        <x:v>NSW</x:v>
      </x:c>
      <x:c r="F1530" s="11" t="n">
        <x:v>110320.4</x:v>
      </x:c>
      <x:c r="G1530" s="13" t="n">
        <x:v>22316</x:v>
      </x:c>
      <x:c r="H1530" s="11" t="n">
        <x:v>60466.2</x:v>
      </x:c>
      <x:c r="I1530" s="11" t="n">
        <x:v>97820.53</x:v>
      </x:c>
    </x:row>
    <x:row r="1531">
      <x:c r="A1531" t="n">
        <x:v>2024</x:v>
      </x:c>
      <x:c r="B1531" t="str">
        <x:v>2024-09</x:v>
      </x:c>
      <x:c r="C1531" t="str">
        <x:v>Energy</x:v>
      </x:c>
      <x:c r="D1531" t="str">
        <x:v>Independent retail</x:v>
      </x:c>
      <x:c r="E1531" t="str">
        <x:v>QLD</x:v>
      </x:c>
      <x:c r="F1531" s="11" t="n">
        <x:v>108513.38</x:v>
      </x:c>
      <x:c r="G1531" s="13" t="n">
        <x:v>22212</x:v>
      </x:c>
      <x:c r="H1531" s="11" t="n">
        <x:v>59038.47</x:v>
      </x:c>
      <x:c r="I1531" s="11" t="n">
        <x:v>94036.49</x:v>
      </x:c>
    </x:row>
    <x:row r="1532">
      <x:c r="A1532" t="n">
        <x:v>2024</x:v>
      </x:c>
      <x:c r="B1532" t="str">
        <x:v>2024-09</x:v>
      </x:c>
      <x:c r="C1532" t="str">
        <x:v>Energy</x:v>
      </x:c>
      <x:c r="D1532" t="str">
        <x:v>Independent retail</x:v>
      </x:c>
      <x:c r="E1532" t="str">
        <x:v>VIC</x:v>
      </x:c>
      <x:c r="F1532" s="11" t="n">
        <x:v>103616.36</x:v>
      </x:c>
      <x:c r="G1532" s="13" t="n">
        <x:v>21041</x:v>
      </x:c>
      <x:c r="H1532" s="11" t="n">
        <x:v>56530.32</x:v>
      </x:c>
      <x:c r="I1532" s="11" t="n">
        <x:v>91224.97</x:v>
      </x:c>
    </x:row>
    <x:row r="1533">
      <x:c r="A1533" t="n">
        <x:v>2024</x:v>
      </x:c>
      <x:c r="B1533" t="str">
        <x:v>2024-09</x:v>
      </x:c>
      <x:c r="C1533" t="str">
        <x:v>Energy</x:v>
      </x:c>
      <x:c r="D1533" t="str">
        <x:v>Petrol</x:v>
      </x:c>
      <x:c r="E1533" t="str">
        <x:v>NSW</x:v>
      </x:c>
      <x:c r="F1533" s="11" t="n">
        <x:v>123956.7</x:v>
      </x:c>
      <x:c r="G1533" s="13" t="n">
        <x:v>23288</x:v>
      </x:c>
      <x:c r="H1533" s="11" t="n">
        <x:v>72175</x:v>
      </x:c>
      <x:c r="I1533" s="11" t="n">
        <x:v>105510.65</x:v>
      </x:c>
    </x:row>
    <x:row r="1534">
      <x:c r="A1534" t="n">
        <x:v>2024</x:v>
      </x:c>
      <x:c r="B1534" t="str">
        <x:v>2024-09</x:v>
      </x:c>
      <x:c r="C1534" t="str">
        <x:v>Energy</x:v>
      </x:c>
      <x:c r="D1534" t="str">
        <x:v>Petrol</x:v>
      </x:c>
      <x:c r="E1534" t="str">
        <x:v>QLD</x:v>
      </x:c>
      <x:c r="F1534" s="11" t="n">
        <x:v>114626.32</x:v>
      </x:c>
      <x:c r="G1534" s="13" t="n">
        <x:v>21308</x:v>
      </x:c>
      <x:c r="H1534" s="11" t="n">
        <x:v>68052.36</x:v>
      </x:c>
      <x:c r="I1534" s="11" t="n">
        <x:v>101445.59</x:v>
      </x:c>
    </x:row>
    <x:row r="1535">
      <x:c r="A1535" t="n">
        <x:v>2024</x:v>
      </x:c>
      <x:c r="B1535" t="str">
        <x:v>2024-09</x:v>
      </x:c>
      <x:c r="C1535" t="str">
        <x:v>Energy</x:v>
      </x:c>
      <x:c r="D1535" t="str">
        <x:v>Petrol</x:v>
      </x:c>
      <x:c r="E1535" t="str">
        <x:v>VIC</x:v>
      </x:c>
      <x:c r="F1535" s="11" t="n">
        <x:v>113165.38</x:v>
      </x:c>
      <x:c r="G1535" s="13" t="n">
        <x:v>21268</x:v>
      </x:c>
      <x:c r="H1535" s="11" t="n">
        <x:v>66610.91</x:v>
      </x:c>
      <x:c r="I1535" s="11" t="n">
        <x:v>98408.78</x:v>
      </x:c>
    </x:row>
    <x:row r="1536">
      <x:c r="A1536" t="n">
        <x:v>2024</x:v>
      </x:c>
      <x:c r="B1536" t="str">
        <x:v>2024-09</x:v>
      </x:c>
      <x:c r="C1536" t="str">
        <x:v>Sparkling</x:v>
      </x:c>
      <x:c r="D1536" t="str">
        <x:v>Convenience</x:v>
      </x:c>
      <x:c r="E1536" t="str">
        <x:v>NSW</x:v>
      </x:c>
      <x:c r="F1536" s="11" t="n">
        <x:v>116487.2</x:v>
      </x:c>
      <x:c r="G1536" s="13" t="n">
        <x:v>28317</x:v>
      </x:c>
      <x:c r="H1536" s="11" t="n">
        <x:v>62834.07</x:v>
      </x:c>
      <x:c r="I1536" s="11" t="n">
        <x:v>119256.66</x:v>
      </x:c>
    </x:row>
    <x:row r="1537">
      <x:c r="A1537" t="n">
        <x:v>2024</x:v>
      </x:c>
      <x:c r="B1537" t="str">
        <x:v>2024-09</x:v>
      </x:c>
      <x:c r="C1537" t="str">
        <x:v>Sparkling</x:v>
      </x:c>
      <x:c r="D1537" t="str">
        <x:v>Convenience</x:v>
      </x:c>
      <x:c r="E1537" t="str">
        <x:v>QLD</x:v>
      </x:c>
      <x:c r="F1537" s="11" t="n">
        <x:v>115829.1</x:v>
      </x:c>
      <x:c r="G1537" s="13" t="n">
        <x:v>28167</x:v>
      </x:c>
      <x:c r="H1537" s="11" t="n">
        <x:v>62699.7</x:v>
      </x:c>
      <x:c r="I1537" s="11" t="n">
        <x:v>114677.51</x:v>
      </x:c>
    </x:row>
    <x:row r="1538">
      <x:c r="A1538" t="n">
        <x:v>2024</x:v>
      </x:c>
      <x:c r="B1538" t="str">
        <x:v>2024-09</x:v>
      </x:c>
      <x:c r="C1538" t="str">
        <x:v>Sparkling</x:v>
      </x:c>
      <x:c r="D1538" t="str">
        <x:v>Convenience</x:v>
      </x:c>
      <x:c r="E1538" t="str">
        <x:v>VIC</x:v>
      </x:c>
      <x:c r="F1538" s="11" t="n">
        <x:v>111648.51</x:v>
      </x:c>
      <x:c r="G1538" s="13" t="n">
        <x:v>26972</x:v>
      </x:c>
      <x:c r="H1538" s="11" t="n">
        <x:v>60141.75</x:v>
      </x:c>
      <x:c r="I1538" s="11" t="n">
        <x:v>111231.19</x:v>
      </x:c>
    </x:row>
    <x:row r="1539">
      <x:c r="A1539" t="n">
        <x:v>2024</x:v>
      </x:c>
      <x:c r="B1539" t="str">
        <x:v>2024-09</x:v>
      </x:c>
      <x:c r="C1539" t="str">
        <x:v>Sparkling</x:v>
      </x:c>
      <x:c r="D1539" t="str">
        <x:v>Grocery</x:v>
      </x:c>
      <x:c r="E1539" t="str">
        <x:v>NSW</x:v>
      </x:c>
      <x:c r="F1539" s="11" t="n">
        <x:v>297042.06</x:v>
      </x:c>
      <x:c r="G1539" s="13" t="n">
        <x:v>82186</x:v>
      </x:c>
      <x:c r="H1539" s="11" t="n">
        <x:v>142582.25</x:v>
      </x:c>
      <x:c r="I1539" s="11" t="n">
        <x:v>296482.2</x:v>
      </x:c>
    </x:row>
    <x:row r="1540">
      <x:c r="A1540" t="n">
        <x:v>2024</x:v>
      </x:c>
      <x:c r="B1540" t="str">
        <x:v>2024-09</x:v>
      </x:c>
      <x:c r="C1540" t="str">
        <x:v>Sparkling</x:v>
      </x:c>
      <x:c r="D1540" t="str">
        <x:v>Grocery</x:v>
      </x:c>
      <x:c r="E1540" t="str">
        <x:v>QLD</x:v>
      </x:c>
      <x:c r="F1540" s="11" t="n">
        <x:v>288445.95</x:v>
      </x:c>
      <x:c r="G1540" s="13" t="n">
        <x:v>80753</x:v>
      </x:c>
      <x:c r="H1540" s="11" t="n">
        <x:v>134398.17</x:v>
      </x:c>
      <x:c r="I1540" s="11" t="n">
        <x:v>285109.76</x:v>
      </x:c>
    </x:row>
    <x:row r="1541">
      <x:c r="A1541" t="n">
        <x:v>2024</x:v>
      </x:c>
      <x:c r="B1541" t="str">
        <x:v>2024-09</x:v>
      </x:c>
      <x:c r="C1541" t="str">
        <x:v>Sparkling</x:v>
      </x:c>
      <x:c r="D1541" t="str">
        <x:v>Grocery</x:v>
      </x:c>
      <x:c r="E1541" t="str">
        <x:v>VIC</x:v>
      </x:c>
      <x:c r="F1541" s="11" t="n">
        <x:v>269301.05</x:v>
      </x:c>
      <x:c r="G1541" s="13" t="n">
        <x:v>74942</x:v>
      </x:c>
      <x:c r="H1541" s="11" t="n">
        <x:v>127918.19</x:v>
      </x:c>
      <x:c r="I1541" s="11" t="n">
        <x:v>276535.11</x:v>
      </x:c>
    </x:row>
    <x:row r="1542">
      <x:c r="A1542" t="n">
        <x:v>2024</x:v>
      </x:c>
      <x:c r="B1542" t="str">
        <x:v>2024-09</x:v>
      </x:c>
      <x:c r="C1542" t="str">
        <x:v>Sparkling</x:v>
      </x:c>
      <x:c r="D1542" t="str">
        <x:v>Hospitality</x:v>
      </x:c>
      <x:c r="E1542" t="str">
        <x:v>NSW</x:v>
      </x:c>
      <x:c r="F1542" s="11" t="n">
        <x:v>37376</x:v>
      </x:c>
      <x:c r="G1542" s="13" t="n">
        <x:v>11212</x:v>
      </x:c>
      <x:c r="H1542" s="11" t="n">
        <x:v>16063.11</x:v>
      </x:c>
      <x:c r="I1542" s="11" t="n">
        <x:v>37095.51</x:v>
      </x:c>
    </x:row>
    <x:row r="1543">
      <x:c r="A1543" t="n">
        <x:v>2024</x:v>
      </x:c>
      <x:c r="B1543" t="str">
        <x:v>2024-09</x:v>
      </x:c>
      <x:c r="C1543" t="str">
        <x:v>Sparkling</x:v>
      </x:c>
      <x:c r="D1543" t="str">
        <x:v>Hospitality</x:v>
      </x:c>
      <x:c r="E1543" t="str">
        <x:v>QLD</x:v>
      </x:c>
      <x:c r="F1543" s="11" t="n">
        <x:v>35720.68</x:v>
      </x:c>
      <x:c r="G1543" s="13" t="n">
        <x:v>11064</x:v>
      </x:c>
      <x:c r="H1543" s="11" t="n">
        <x:v>14886.67</x:v>
      </x:c>
      <x:c r="I1543" s="11" t="n">
        <x:v>35680.48</x:v>
      </x:c>
    </x:row>
    <x:row r="1544">
      <x:c r="A1544" t="n">
        <x:v>2024</x:v>
      </x:c>
      <x:c r="B1544" t="str">
        <x:v>2024-09</x:v>
      </x:c>
      <x:c r="C1544" t="str">
        <x:v>Sparkling</x:v>
      </x:c>
      <x:c r="D1544" t="str">
        <x:v>Hospitality</x:v>
      </x:c>
      <x:c r="E1544" t="str">
        <x:v>VIC</x:v>
      </x:c>
      <x:c r="F1544" s="11" t="n">
        <x:v>34551.19</x:v>
      </x:c>
      <x:c r="G1544" s="13" t="n">
        <x:v>10602</x:v>
      </x:c>
      <x:c r="H1544" s="11" t="n">
        <x:v>14479.14</x:v>
      </x:c>
      <x:c r="I1544" s="11" t="n">
        <x:v>34587.55</x:v>
      </x:c>
    </x:row>
    <x:row r="1545">
      <x:c r="A1545" t="n">
        <x:v>2024</x:v>
      </x:c>
      <x:c r="B1545" t="str">
        <x:v>2024-09</x:v>
      </x:c>
      <x:c r="C1545" t="str">
        <x:v>Sparkling</x:v>
      </x:c>
      <x:c r="D1545" t="str">
        <x:v>Independent retail</x:v>
      </x:c>
      <x:c r="E1545" t="str">
        <x:v>NSW</x:v>
      </x:c>
      <x:c r="F1545" s="11" t="n">
        <x:v>98517.19</x:v>
      </x:c>
      <x:c r="G1545" s="13" t="n">
        <x:v>27389</x:v>
      </x:c>
      <x:c r="H1545" s="11" t="n">
        <x:v>47364.39</x:v>
      </x:c>
      <x:c r="I1545" s="11" t="n">
        <x:v>100898.72</x:v>
      </x:c>
    </x:row>
    <x:row r="1546">
      <x:c r="A1546" t="n">
        <x:v>2024</x:v>
      </x:c>
      <x:c r="B1546" t="str">
        <x:v>2024-09</x:v>
      </x:c>
      <x:c r="C1546" t="str">
        <x:v>Sparkling</x:v>
      </x:c>
      <x:c r="D1546" t="str">
        <x:v>Independent retail</x:v>
      </x:c>
      <x:c r="E1546" t="str">
        <x:v>QLD</x:v>
      </x:c>
      <x:c r="F1546" s="11" t="n">
        <x:v>96848.75</x:v>
      </x:c>
      <x:c r="G1546" s="13" t="n">
        <x:v>26100</x:v>
      </x:c>
      <x:c r="H1546" s="11" t="n">
        <x:v>47730.2</x:v>
      </x:c>
      <x:c r="I1546" s="11" t="n">
        <x:v>97017.5</x:v>
      </x:c>
    </x:row>
    <x:row r="1547">
      <x:c r="A1547" t="n">
        <x:v>2024</x:v>
      </x:c>
      <x:c r="B1547" t="str">
        <x:v>2024-09</x:v>
      </x:c>
      <x:c r="C1547" t="str">
        <x:v>Sparkling</x:v>
      </x:c>
      <x:c r="D1547" t="str">
        <x:v>Independent retail</x:v>
      </x:c>
      <x:c r="E1547" t="str">
        <x:v>VIC</x:v>
      </x:c>
      <x:c r="F1547" s="11" t="n">
        <x:v>91736.44</x:v>
      </x:c>
      <x:c r="G1547" s="13" t="n">
        <x:v>25233</x:v>
      </x:c>
      <x:c r="H1547" s="11" t="n">
        <x:v>44410.36</x:v>
      </x:c>
      <x:c r="I1547" s="11" t="n">
        <x:v>94102.99</x:v>
      </x:c>
    </x:row>
    <x:row r="1548">
      <x:c r="A1548" t="n">
        <x:v>2024</x:v>
      </x:c>
      <x:c r="B1548" t="str">
        <x:v>2024-09</x:v>
      </x:c>
      <x:c r="C1548" t="str">
        <x:v>Sparkling</x:v>
      </x:c>
      <x:c r="D1548" t="str">
        <x:v>Petrol</x:v>
      </x:c>
      <x:c r="E1548" t="str">
        <x:v>NSW</x:v>
      </x:c>
      <x:c r="F1548" s="11" t="n">
        <x:v>106622.26</x:v>
      </x:c>
      <x:c r="G1548" s="13" t="n">
        <x:v>26786</x:v>
      </x:c>
      <x:c r="H1548" s="11" t="n">
        <x:v>56753.67</x:v>
      </x:c>
      <x:c r="I1548" s="11" t="n">
        <x:v>108739.37</x:v>
      </x:c>
    </x:row>
    <x:row r="1549">
      <x:c r="A1549" t="n">
        <x:v>2024</x:v>
      </x:c>
      <x:c r="B1549" t="str">
        <x:v>2024-09</x:v>
      </x:c>
      <x:c r="C1549" t="str">
        <x:v>Sparkling</x:v>
      </x:c>
      <x:c r="D1549" t="str">
        <x:v>Petrol</x:v>
      </x:c>
      <x:c r="E1549" t="str">
        <x:v>QLD</x:v>
      </x:c>
      <x:c r="F1549" s="11" t="n">
        <x:v>102688.78</x:v>
      </x:c>
      <x:c r="G1549" s="13" t="n">
        <x:v>25425</x:v>
      </x:c>
      <x:c r="H1549" s="11" t="n">
        <x:v>55035.23</x:v>
      </x:c>
      <x:c r="I1549" s="11" t="n">
        <x:v>104562.21</x:v>
      </x:c>
    </x:row>
    <x:row r="1550">
      <x:c r="A1550" t="n">
        <x:v>2024</x:v>
      </x:c>
      <x:c r="B1550" t="str">
        <x:v>2024-09</x:v>
      </x:c>
      <x:c r="C1550" t="str">
        <x:v>Sparkling</x:v>
      </x:c>
      <x:c r="D1550" t="str">
        <x:v>Petrol</x:v>
      </x:c>
      <x:c r="E1550" t="str">
        <x:v>VIC</x:v>
      </x:c>
      <x:c r="F1550" s="11" t="n">
        <x:v>101158.01</x:v>
      </x:c>
      <x:c r="G1550" s="13" t="n">
        <x:v>25053</x:v>
      </x:c>
      <x:c r="H1550" s="11" t="n">
        <x:v>54124.87</x:v>
      </x:c>
      <x:c r="I1550" s="11" t="n">
        <x:v>101419.95</x:v>
      </x:c>
    </x:row>
    <x:row r="1551">
      <x:c r="A1551" t="n">
        <x:v>2024</x:v>
      </x:c>
      <x:c r="B1551" t="str">
        <x:v>2024-09</x:v>
      </x:c>
      <x:c r="C1551" t="str">
        <x:v>Sports</x:v>
      </x:c>
      <x:c r="D1551" t="str">
        <x:v>Convenience</x:v>
      </x:c>
      <x:c r="E1551" t="str">
        <x:v>NSW</x:v>
      </x:c>
      <x:c r="F1551" s="11" t="n">
        <x:v>70353.23</x:v>
      </x:c>
      <x:c r="G1551" s="13" t="n">
        <x:v>13993</x:v>
      </x:c>
      <x:c r="H1551" s="11" t="n">
        <x:v>36272.6</x:v>
      </x:c>
      <x:c r="I1551" s="11" t="n">
        <x:v>65824.6</x:v>
      </x:c>
    </x:row>
    <x:row r="1552">
      <x:c r="A1552" t="n">
        <x:v>2024</x:v>
      </x:c>
      <x:c r="B1552" t="str">
        <x:v>2024-09</x:v>
      </x:c>
      <x:c r="C1552" t="str">
        <x:v>Sports</x:v>
      </x:c>
      <x:c r="D1552" t="str">
        <x:v>Convenience</x:v>
      </x:c>
      <x:c r="E1552" t="str">
        <x:v>QLD</x:v>
      </x:c>
      <x:c r="F1552" s="11" t="n">
        <x:v>68587.27</x:v>
      </x:c>
      <x:c r="G1552" s="13" t="n">
        <x:v>13568</x:v>
      </x:c>
      <x:c r="H1552" s="11" t="n">
        <x:v>35702.39</x:v>
      </x:c>
      <x:c r="I1552" s="11" t="n">
        <x:v>63301.55</x:v>
      </x:c>
    </x:row>
    <x:row r="1553">
      <x:c r="A1553" t="n">
        <x:v>2024</x:v>
      </x:c>
      <x:c r="B1553" t="str">
        <x:v>2024-09</x:v>
      </x:c>
      <x:c r="C1553" t="str">
        <x:v>Sports</x:v>
      </x:c>
      <x:c r="D1553" t="str">
        <x:v>Convenience</x:v>
      </x:c>
      <x:c r="E1553" t="str">
        <x:v>VIC</x:v>
      </x:c>
      <x:c r="F1553" s="11" t="n">
        <x:v>63778.74</x:v>
      </x:c>
      <x:c r="G1553" s="13" t="n">
        <x:v>12924</x:v>
      </x:c>
      <x:c r="H1553" s="11" t="n">
        <x:v>32709.09</x:v>
      </x:c>
      <x:c r="I1553" s="11" t="n">
        <x:v>61401.81</x:v>
      </x:c>
    </x:row>
    <x:row r="1554">
      <x:c r="A1554" t="n">
        <x:v>2024</x:v>
      </x:c>
      <x:c r="B1554" t="str">
        <x:v>2024-09</x:v>
      </x:c>
      <x:c r="C1554" t="str">
        <x:v>Sports</x:v>
      </x:c>
      <x:c r="D1554" t="str">
        <x:v>Grocery</x:v>
      </x:c>
      <x:c r="E1554" t="str">
        <x:v>NSW</x:v>
      </x:c>
      <x:c r="F1554" s="11" t="n">
        <x:v>170897.09</x:v>
      </x:c>
      <x:c r="G1554" s="13" t="n">
        <x:v>37392</x:v>
      </x:c>
      <x:c r="H1554" s="11" t="n">
        <x:v>80131.34</x:v>
      </x:c>
      <x:c r="I1554" s="11" t="n">
        <x:v>163452.3</x:v>
      </x:c>
    </x:row>
    <x:row r="1555">
      <x:c r="A1555" t="n">
        <x:v>2024</x:v>
      </x:c>
      <x:c r="B1555" t="str">
        <x:v>2024-09</x:v>
      </x:c>
      <x:c r="C1555" t="str">
        <x:v>Sports</x:v>
      </x:c>
      <x:c r="D1555" t="str">
        <x:v>Grocery</x:v>
      </x:c>
      <x:c r="E1555" t="str">
        <x:v>QLD</x:v>
      </x:c>
      <x:c r="F1555" s="11" t="n">
        <x:v>166663.42</x:v>
      </x:c>
      <x:c r="G1555" s="13" t="n">
        <x:v>38419</x:v>
      </x:c>
      <x:c r="H1555" s="11" t="n">
        <x:v>73968.82</x:v>
      </x:c>
      <x:c r="I1555" s="11" t="n">
        <x:v>157152.53</x:v>
      </x:c>
    </x:row>
    <x:row r="1556">
      <x:c r="A1556" t="n">
        <x:v>2024</x:v>
      </x:c>
      <x:c r="B1556" t="str">
        <x:v>2024-09</x:v>
      </x:c>
      <x:c r="C1556" t="str">
        <x:v>Sports</x:v>
      </x:c>
      <x:c r="D1556" t="str">
        <x:v>Grocery</x:v>
      </x:c>
      <x:c r="E1556" t="str">
        <x:v>VIC</x:v>
      </x:c>
      <x:c r="F1556" s="11" t="n">
        <x:v>161179.73</x:v>
      </x:c>
      <x:c r="G1556" s="13" t="n">
        <x:v>36168</x:v>
      </x:c>
      <x:c r="H1556" s="11" t="n">
        <x:v>73837.83</x:v>
      </x:c>
      <x:c r="I1556" s="11" t="n">
        <x:v>152440.85</x:v>
      </x:c>
    </x:row>
    <x:row r="1557">
      <x:c r="A1557" t="n">
        <x:v>2024</x:v>
      </x:c>
      <x:c r="B1557" t="str">
        <x:v>2024-09</x:v>
      </x:c>
      <x:c r="C1557" t="str">
        <x:v>Sports</x:v>
      </x:c>
      <x:c r="D1557" t="str">
        <x:v>Hospitality</x:v>
      </x:c>
      <x:c r="E1557" t="str">
        <x:v>NSW</x:v>
      </x:c>
      <x:c r="F1557" s="11" t="n">
        <x:v>21463.58</x:v>
      </x:c>
      <x:c r="G1557" s="13" t="n">
        <x:v>5219</x:v>
      </x:c>
      <x:c r="H1557" s="11" t="n">
        <x:v>8827.77</x:v>
      </x:c>
      <x:c r="I1557" s="11" t="n">
        <x:v>20463.59</x:v>
      </x:c>
    </x:row>
    <x:row r="1558">
      <x:c r="A1558" t="n">
        <x:v>2024</x:v>
      </x:c>
      <x:c r="B1558" t="str">
        <x:v>2024-09</x:v>
      </x:c>
      <x:c r="C1558" t="str">
        <x:v>Sports</x:v>
      </x:c>
      <x:c r="D1558" t="str">
        <x:v>Hospitality</x:v>
      </x:c>
      <x:c r="E1558" t="str">
        <x:v>QLD</x:v>
      </x:c>
      <x:c r="F1558" s="11" t="n">
        <x:v>21201.36</x:v>
      </x:c>
      <x:c r="G1558" s="13" t="n">
        <x:v>5382</x:v>
      </x:c>
      <x:c r="H1558" s="11" t="n">
        <x:v>8220.85</x:v>
      </x:c>
      <x:c r="I1558" s="11" t="n">
        <x:v>19664.27</x:v>
      </x:c>
    </x:row>
    <x:row r="1559">
      <x:c r="A1559" t="n">
        <x:v>2024</x:v>
      </x:c>
      <x:c r="B1559" t="str">
        <x:v>2024-09</x:v>
      </x:c>
      <x:c r="C1559" t="str">
        <x:v>Sports</x:v>
      </x:c>
      <x:c r="D1559" t="str">
        <x:v>Hospitality</x:v>
      </x:c>
      <x:c r="E1559" t="str">
        <x:v>VIC</x:v>
      </x:c>
      <x:c r="F1559" s="11" t="n">
        <x:v>20222.14</x:v>
      </x:c>
      <x:c r="G1559" s="13" t="n">
        <x:v>5015</x:v>
      </x:c>
      <x:c r="H1559" s="11" t="n">
        <x:v>7983.34</x:v>
      </x:c>
      <x:c r="I1559" s="11" t="n">
        <x:v>19074.14</x:v>
      </x:c>
    </x:row>
    <x:row r="1560">
      <x:c r="A1560" t="n">
        <x:v>2024</x:v>
      </x:c>
      <x:c r="B1560" t="str">
        <x:v>2024-09</x:v>
      </x:c>
      <x:c r="C1560" t="str">
        <x:v>Sports</x:v>
      </x:c>
      <x:c r="D1560" t="str">
        <x:v>Independent retail</x:v>
      </x:c>
      <x:c r="E1560" t="str">
        <x:v>NSW</x:v>
      </x:c>
      <x:c r="F1560" s="11" t="n">
        <x:v>59301.27</x:v>
      </x:c>
      <x:c r="G1560" s="13" t="n">
        <x:v>13479</x:v>
      </x:c>
      <x:c r="H1560" s="11" t="n">
        <x:v>26862.34</x:v>
      </x:c>
      <x:c r="I1560" s="11" t="n">
        <x:v>55538.35</x:v>
      </x:c>
    </x:row>
    <x:row r="1561">
      <x:c r="A1561" t="n">
        <x:v>2024</x:v>
      </x:c>
      <x:c r="B1561" t="str">
        <x:v>2024-09</x:v>
      </x:c>
      <x:c r="C1561" t="str">
        <x:v>Sports</x:v>
      </x:c>
      <x:c r="D1561" t="str">
        <x:v>Independent retail</x:v>
      </x:c>
      <x:c r="E1561" t="str">
        <x:v>QLD</x:v>
      </x:c>
      <x:c r="F1561" s="11" t="n">
        <x:v>55621.92</x:v>
      </x:c>
      <x:c r="G1561" s="13" t="n">
        <x:v>12503</x:v>
      </x:c>
      <x:c r="H1561" s="11" t="n">
        <x:v>26179.77</x:v>
      </x:c>
      <x:c r="I1561" s="11" t="n">
        <x:v>53407.89</x:v>
      </x:c>
    </x:row>
    <x:row r="1562">
      <x:c r="A1562" t="n">
        <x:v>2024</x:v>
      </x:c>
      <x:c r="B1562" t="str">
        <x:v>2024-09</x:v>
      </x:c>
      <x:c r="C1562" t="str">
        <x:v>Sports</x:v>
      </x:c>
      <x:c r="D1562" t="str">
        <x:v>Independent retail</x:v>
      </x:c>
      <x:c r="E1562" t="str">
        <x:v>VIC</x:v>
      </x:c>
      <x:c r="F1562" s="11" t="n">
        <x:v>54870.64</x:v>
      </x:c>
      <x:c r="G1562" s="13" t="n">
        <x:v>12406</x:v>
      </x:c>
      <x:c r="H1562" s="11" t="n">
        <x:v>25235.33</x:v>
      </x:c>
      <x:c r="I1562" s="11" t="n">
        <x:v>51807.06</x:v>
      </x:c>
    </x:row>
    <x:row r="1563">
      <x:c r="A1563" t="n">
        <x:v>2024</x:v>
      </x:c>
      <x:c r="B1563" t="str">
        <x:v>2024-09</x:v>
      </x:c>
      <x:c r="C1563" t="str">
        <x:v>Sports</x:v>
      </x:c>
      <x:c r="D1563" t="str">
        <x:v>Petrol</x:v>
      </x:c>
      <x:c r="E1563" t="str">
        <x:v>NSW</x:v>
      </x:c>
      <x:c r="F1563" s="11" t="n">
        <x:v>62996.62</x:v>
      </x:c>
      <x:c r="G1563" s="13" t="n">
        <x:v>12928</x:v>
      </x:c>
      <x:c r="H1563" s="11" t="n">
        <x:v>32374.61</x:v>
      </x:c>
      <x:c r="I1563" s="11" t="n">
        <x:v>60236.22</x:v>
      </x:c>
    </x:row>
    <x:row r="1564">
      <x:c r="A1564" t="n">
        <x:v>2024</x:v>
      </x:c>
      <x:c r="B1564" t="str">
        <x:v>2024-09</x:v>
      </x:c>
      <x:c r="C1564" t="str">
        <x:v>Sports</x:v>
      </x:c>
      <x:c r="D1564" t="str">
        <x:v>Petrol</x:v>
      </x:c>
      <x:c r="E1564" t="str">
        <x:v>QLD</x:v>
      </x:c>
      <x:c r="F1564" s="11" t="n">
        <x:v>59382.19</x:v>
      </x:c>
      <x:c r="G1564" s="13" t="n">
        <x:v>11656</x:v>
      </x:c>
      <x:c r="H1564" s="11" t="n">
        <x:v>31218.82</x:v>
      </x:c>
      <x:c r="I1564" s="11" t="n">
        <x:v>57916.84</x:v>
      </x:c>
    </x:row>
    <x:row r="1565">
      <x:c r="A1565" t="n">
        <x:v>2024</x:v>
      </x:c>
      <x:c r="B1565" t="str">
        <x:v>2024-09</x:v>
      </x:c>
      <x:c r="C1565" t="str">
        <x:v>Sports</x:v>
      </x:c>
      <x:c r="D1565" t="str">
        <x:v>Petrol</x:v>
      </x:c>
      <x:c r="E1565" t="str">
        <x:v>VIC</x:v>
      </x:c>
      <x:c r="F1565" s="11" t="n">
        <x:v>58932.58</x:v>
      </x:c>
      <x:c r="G1565" s="13" t="n">
        <x:v>11628</x:v>
      </x:c>
      <x:c r="H1565" s="11" t="n">
        <x:v>30923.77</x:v>
      </x:c>
      <x:c r="I1565" s="11" t="n">
        <x:v>56175.33</x:v>
      </x:c>
    </x:row>
    <x:row r="1566">
      <x:c r="A1566" t="n">
        <x:v>2024</x:v>
      </x:c>
      <x:c r="B1566" t="str">
        <x:v>2024-09</x:v>
      </x:c>
      <x:c r="C1566" t="str">
        <x:v>Water</x:v>
      </x:c>
      <x:c r="D1566" t="str">
        <x:v>Convenience</x:v>
      </x:c>
      <x:c r="E1566" t="str">
        <x:v>NSW</x:v>
      </x:c>
      <x:c r="F1566" s="11" t="n">
        <x:v>77792.51</x:v>
      </x:c>
      <x:c r="G1566" s="13" t="n">
        <x:v>23833</x:v>
      </x:c>
      <x:c r="H1566" s="11" t="n">
        <x:v>38524.26</x:v>
      </x:c>
      <x:c r="I1566" s="11" t="n">
        <x:v>78447.14</x:v>
      </x:c>
    </x:row>
    <x:row r="1567">
      <x:c r="A1567" t="n">
        <x:v>2024</x:v>
      </x:c>
      <x:c r="B1567" t="str">
        <x:v>2024-09</x:v>
      </x:c>
      <x:c r="C1567" t="str">
        <x:v>Water</x:v>
      </x:c>
      <x:c r="D1567" t="str">
        <x:v>Convenience</x:v>
      </x:c>
      <x:c r="E1567" t="str">
        <x:v>QLD</x:v>
      </x:c>
      <x:c r="F1567" s="11" t="n">
        <x:v>73920.28</x:v>
      </x:c>
      <x:c r="G1567" s="13" t="n">
        <x:v>22704</x:v>
      </x:c>
      <x:c r="H1567" s="11" t="n">
        <x:v>36231.3</x:v>
      </x:c>
      <x:c r="I1567" s="11" t="n">
        <x:v>75447.07</x:v>
      </x:c>
    </x:row>
    <x:row r="1568">
      <x:c r="A1568" t="n">
        <x:v>2024</x:v>
      </x:c>
      <x:c r="B1568" t="str">
        <x:v>2024-09</x:v>
      </x:c>
      <x:c r="C1568" t="str">
        <x:v>Water</x:v>
      </x:c>
      <x:c r="D1568" t="str">
        <x:v>Convenience</x:v>
      </x:c>
      <x:c r="E1568" t="str">
        <x:v>VIC</x:v>
      </x:c>
      <x:c r="F1568" s="11" t="n">
        <x:v>74088.86</x:v>
      </x:c>
      <x:c r="G1568" s="13" t="n">
        <x:v>22291</x:v>
      </x:c>
      <x:c r="H1568" s="11" t="n">
        <x:v>36929.55</x:v>
      </x:c>
      <x:c r="I1568" s="11" t="n">
        <x:v>73160.82</x:v>
      </x:c>
    </x:row>
    <x:row r="1569">
      <x:c r="A1569" t="n">
        <x:v>2024</x:v>
      </x:c>
      <x:c r="B1569" t="str">
        <x:v>2024-09</x:v>
      </x:c>
      <x:c r="C1569" t="str">
        <x:v>Water</x:v>
      </x:c>
      <x:c r="D1569" t="str">
        <x:v>Grocery</x:v>
      </x:c>
      <x:c r="E1569" t="str">
        <x:v>NSW</x:v>
      </x:c>
      <x:c r="F1569" s="11" t="n">
        <x:v>190330.54</x:v>
      </x:c>
      <x:c r="G1569" s="13" t="n">
        <x:v>70769</x:v>
      </x:c>
      <x:c r="H1569" s="11" t="n">
        <x:v>72796.19</x:v>
      </x:c>
      <x:c r="I1569" s="11" t="n">
        <x:v>195556.08</x:v>
      </x:c>
    </x:row>
    <x:row r="1570">
      <x:c r="A1570" t="n">
        <x:v>2024</x:v>
      </x:c>
      <x:c r="B1570" t="str">
        <x:v>2024-09</x:v>
      </x:c>
      <x:c r="C1570" t="str">
        <x:v>Water</x:v>
      </x:c>
      <x:c r="D1570" t="str">
        <x:v>Grocery</x:v>
      </x:c>
      <x:c r="E1570" t="str">
        <x:v>QLD</x:v>
      </x:c>
      <x:c r="F1570" s="11" t="n">
        <x:v>183450.99</x:v>
      </x:c>
      <x:c r="G1570" s="13" t="n">
        <x:v>66445</x:v>
      </x:c>
      <x:c r="H1570" s="11" t="n">
        <x:v>74182.15</x:v>
      </x:c>
      <x:c r="I1570" s="11" t="n">
        <x:v>188018</x:v>
      </x:c>
    </x:row>
    <x:row r="1571">
      <x:c r="A1571" t="n">
        <x:v>2024</x:v>
      </x:c>
      <x:c r="B1571" t="str">
        <x:v>2024-09</x:v>
      </x:c>
      <x:c r="C1571" t="str">
        <x:v>Water</x:v>
      </x:c>
      <x:c r="D1571" t="str">
        <x:v>Grocery</x:v>
      </x:c>
      <x:c r="E1571" t="str">
        <x:v>VIC</x:v>
      </x:c>
      <x:c r="F1571" s="11" t="n">
        <x:v>176317.18</x:v>
      </x:c>
      <x:c r="G1571" s="13" t="n">
        <x:v>65341</x:v>
      </x:c>
      <x:c r="H1571" s="11" t="n">
        <x:v>68626.89</x:v>
      </x:c>
      <x:c r="I1571" s="11" t="n">
        <x:v>182410.24</x:v>
      </x:c>
    </x:row>
    <x:row r="1572">
      <x:c r="A1572" t="n">
        <x:v>2024</x:v>
      </x:c>
      <x:c r="B1572" t="str">
        <x:v>2024-09</x:v>
      </x:c>
      <x:c r="C1572" t="str">
        <x:v>Water</x:v>
      </x:c>
      <x:c r="D1572" t="str">
        <x:v>Hospitality</x:v>
      </x:c>
      <x:c r="E1572" t="str">
        <x:v>NSW</x:v>
      </x:c>
      <x:c r="F1572" s="11" t="n">
        <x:v>24778.25</x:v>
      </x:c>
      <x:c r="G1572" s="13" t="n">
        <x:v>9930</x:v>
      </x:c>
      <x:c r="H1572" s="11" t="n">
        <x:v>8380.87</x:v>
      </x:c>
      <x:c r="I1572" s="11" t="n">
        <x:v>24477.02</x:v>
      </x:c>
    </x:row>
    <x:row r="1573">
      <x:c r="A1573" t="n">
        <x:v>2024</x:v>
      </x:c>
      <x:c r="B1573" t="str">
        <x:v>2024-09</x:v>
      </x:c>
      <x:c r="C1573" t="str">
        <x:v>Water</x:v>
      </x:c>
      <x:c r="D1573" t="str">
        <x:v>Hospitality</x:v>
      </x:c>
      <x:c r="E1573" t="str">
        <x:v>QLD</x:v>
      </x:c>
      <x:c r="F1573" s="11" t="n">
        <x:v>24296.13</x:v>
      </x:c>
      <x:c r="G1573" s="13" t="n">
        <x:v>9365</x:v>
      </x:c>
      <x:c r="H1573" s="11" t="n">
        <x:v>8848.05</x:v>
      </x:c>
      <x:c r="I1573" s="11" t="n">
        <x:v>23541.99</x:v>
      </x:c>
    </x:row>
    <x:row r="1574">
      <x:c r="A1574" t="n">
        <x:v>2024</x:v>
      </x:c>
      <x:c r="B1574" t="str">
        <x:v>2024-09</x:v>
      </x:c>
      <x:c r="C1574" t="str">
        <x:v>Water</x:v>
      </x:c>
      <x:c r="D1574" t="str">
        <x:v>Hospitality</x:v>
      </x:c>
      <x:c r="E1574" t="str">
        <x:v>VIC</x:v>
      </x:c>
      <x:c r="F1574" s="11" t="n">
        <x:v>23307.08</x:v>
      </x:c>
      <x:c r="G1574" s="13" t="n">
        <x:v>9199</x:v>
      </x:c>
      <x:c r="H1574" s="11" t="n">
        <x:v>8196.1</x:v>
      </x:c>
      <x:c r="I1574" s="11" t="n">
        <x:v>22835.74</x:v>
      </x:c>
    </x:row>
    <x:row r="1575">
      <x:c r="A1575" t="n">
        <x:v>2024</x:v>
      </x:c>
      <x:c r="B1575" t="str">
        <x:v>2024-09</x:v>
      </x:c>
      <x:c r="C1575" t="str">
        <x:v>Water</x:v>
      </x:c>
      <x:c r="D1575" t="str">
        <x:v>Independent retail</x:v>
      </x:c>
      <x:c r="E1575" t="str">
        <x:v>NSW</x:v>
      </x:c>
      <x:c r="F1575" s="11" t="n">
        <x:v>65410.2</x:v>
      </x:c>
      <x:c r="G1575" s="13" t="n">
        <x:v>22323</x:v>
      </x:c>
      <x:c r="H1575" s="11" t="n">
        <x:v>28456.97</x:v>
      </x:c>
      <x:c r="I1575" s="11" t="n">
        <x:v>66559.8</x:v>
      </x:c>
    </x:row>
    <x:row r="1576">
      <x:c r="A1576" t="n">
        <x:v>2024</x:v>
      </x:c>
      <x:c r="B1576" t="str">
        <x:v>2024-09</x:v>
      </x:c>
      <x:c r="C1576" t="str">
        <x:v>Water</x:v>
      </x:c>
      <x:c r="D1576" t="str">
        <x:v>Independent retail</x:v>
      </x:c>
      <x:c r="E1576" t="str">
        <x:v>QLD</x:v>
      </x:c>
      <x:c r="F1576" s="11" t="n">
        <x:v>61201.95</x:v>
      </x:c>
      <x:c r="G1576" s="13" t="n">
        <x:v>21615</x:v>
      </x:c>
      <x:c r="H1576" s="11" t="n">
        <x:v>25297.43</x:v>
      </x:c>
      <x:c r="I1576" s="11" t="n">
        <x:v>63999.44</x:v>
      </x:c>
    </x:row>
    <x:row r="1577">
      <x:c r="A1577" t="n">
        <x:v>2024</x:v>
      </x:c>
      <x:c r="B1577" t="str">
        <x:v>2024-09</x:v>
      </x:c>
      <x:c r="C1577" t="str">
        <x:v>Water</x:v>
      </x:c>
      <x:c r="D1577" t="str">
        <x:v>Independent retail</x:v>
      </x:c>
      <x:c r="E1577" t="str">
        <x:v>VIC</x:v>
      </x:c>
      <x:c r="F1577" s="11" t="n">
        <x:v>60034.31</x:v>
      </x:c>
      <x:c r="G1577" s="13" t="n">
        <x:v>20602</x:v>
      </x:c>
      <x:c r="H1577" s="11" t="n">
        <x:v>25687.35</x:v>
      </x:c>
      <x:c r="I1577" s="11" t="n">
        <x:v>62092.65</x:v>
      </x:c>
    </x:row>
    <x:row r="1578">
      <x:c r="A1578" t="n">
        <x:v>2024</x:v>
      </x:c>
      <x:c r="B1578" t="str">
        <x:v>2024-09</x:v>
      </x:c>
      <x:c r="C1578" t="str">
        <x:v>Water</x:v>
      </x:c>
      <x:c r="D1578" t="str">
        <x:v>Petrol</x:v>
      </x:c>
      <x:c r="E1578" t="str">
        <x:v>NSW</x:v>
      </x:c>
      <x:c r="F1578" s="11" t="n">
        <x:v>70830.45</x:v>
      </x:c>
      <x:c r="G1578" s="13" t="n">
        <x:v>22548</x:v>
      </x:c>
      <x:c r="H1578" s="11" t="n">
        <x:v>32675.24</x:v>
      </x:c>
      <x:c r="I1578" s="11" t="n">
        <x:v>71588.04</x:v>
      </x:c>
    </x:row>
    <x:row r="1579">
      <x:c r="A1579" t="n">
        <x:v>2024</x:v>
      </x:c>
      <x:c r="B1579" t="str">
        <x:v>2024-09</x:v>
      </x:c>
      <x:c r="C1579" t="str">
        <x:v>Water</x:v>
      </x:c>
      <x:c r="D1579" t="str">
        <x:v>Petrol</x:v>
      </x:c>
      <x:c r="E1579" t="str">
        <x:v>QLD</x:v>
      </x:c>
      <x:c r="F1579" s="11" t="n">
        <x:v>70046.83</x:v>
      </x:c>
      <x:c r="G1579" s="13" t="n">
        <x:v>23098</x:v>
      </x:c>
      <x:c r="H1579" s="11" t="n">
        <x:v>31592.92</x:v>
      </x:c>
      <x:c r="I1579" s="11" t="n">
        <x:v>68833.21</x:v>
      </x:c>
    </x:row>
    <x:row r="1580">
      <x:c r="A1580" t="n">
        <x:v>2024</x:v>
      </x:c>
      <x:c r="B1580" t="str">
        <x:v>2024-09</x:v>
      </x:c>
      <x:c r="C1580" t="str">
        <x:v>Water</x:v>
      </x:c>
      <x:c r="D1580" t="str">
        <x:v>Petrol</x:v>
      </x:c>
      <x:c r="E1580" t="str">
        <x:v>VIC</x:v>
      </x:c>
      <x:c r="F1580" s="11" t="n">
        <x:v>67097.4</x:v>
      </x:c>
      <x:c r="G1580" s="13" t="n">
        <x:v>22007</x:v>
      </x:c>
      <x:c r="H1580" s="11" t="n">
        <x:v>30430.17</x:v>
      </x:c>
      <x:c r="I1580" s="11" t="n">
        <x:v>66779.36</x:v>
      </x:c>
    </x:row>
    <x:row r="1581">
      <x:c r="A1581" t="n">
        <x:v>2024</x:v>
      </x:c>
      <x:c r="B1581" t="str">
        <x:v>2024-10</x:v>
      </x:c>
      <x:c r="C1581" t="str">
        <x:v>Coffee</x:v>
      </x:c>
      <x:c r="D1581" t="str">
        <x:v>Convenience</x:v>
      </x:c>
      <x:c r="E1581" t="str">
        <x:v>NSW</x:v>
      </x:c>
      <x:c r="F1581" s="11" t="n">
        <x:v>37390.75</x:v>
      </x:c>
      <x:c r="G1581" s="13" t="n">
        <x:v>5568</x:v>
      </x:c>
      <x:c r="H1581" s="11" t="n">
        <x:v>16196.48</x:v>
      </x:c>
      <x:c r="I1581" s="11" t="n">
        <x:v>49872.04</x:v>
      </x:c>
    </x:row>
    <x:row r="1582">
      <x:c r="A1582" t="n">
        <x:v>2024</x:v>
      </x:c>
      <x:c r="B1582" t="str">
        <x:v>2024-10</x:v>
      </x:c>
      <x:c r="C1582" t="str">
        <x:v>Coffee</x:v>
      </x:c>
      <x:c r="D1582" t="str">
        <x:v>Convenience</x:v>
      </x:c>
      <x:c r="E1582" t="str">
        <x:v>QLD</x:v>
      </x:c>
      <x:c r="F1582" s="11" t="n">
        <x:v>35590.99</x:v>
      </x:c>
      <x:c r="G1582" s="13" t="n">
        <x:v>5244</x:v>
      </x:c>
      <x:c r="H1582" s="11" t="n">
        <x:v>15704.17</x:v>
      </x:c>
      <x:c r="I1582" s="11" t="n">
        <x:v>47950.74</x:v>
      </x:c>
    </x:row>
    <x:row r="1583">
      <x:c r="A1583" t="n">
        <x:v>2024</x:v>
      </x:c>
      <x:c r="B1583" t="str">
        <x:v>2024-10</x:v>
      </x:c>
      <x:c r="C1583" t="str">
        <x:v>Coffee</x:v>
      </x:c>
      <x:c r="D1583" t="str">
        <x:v>Convenience</x:v>
      </x:c>
      <x:c r="E1583" t="str">
        <x:v>VIC</x:v>
      </x:c>
      <x:c r="F1583" s="11" t="n">
        <x:v>33732.83</x:v>
      </x:c>
      <x:c r="G1583" s="13" t="n">
        <x:v>5003</x:v>
      </x:c>
      <x:c r="H1583" s="11" t="n">
        <x:v>14688.39</x:v>
      </x:c>
      <x:c r="I1583" s="11" t="n">
        <x:v>46480.979999999996</x:v>
      </x:c>
    </x:row>
    <x:row r="1584">
      <x:c r="A1584" t="n">
        <x:v>2024</x:v>
      </x:c>
      <x:c r="B1584" t="str">
        <x:v>2024-10</x:v>
      </x:c>
      <x:c r="C1584" t="str">
        <x:v>Coffee</x:v>
      </x:c>
      <x:c r="D1584" t="str">
        <x:v>Grocery</x:v>
      </x:c>
      <x:c r="E1584" t="str">
        <x:v>NSW</x:v>
      </x:c>
      <x:c r="F1584" s="11" t="n">
        <x:v>91212.96</x:v>
      </x:c>
      <x:c r="G1584" s="13" t="n">
        <x:v>15094</x:v>
      </x:c>
      <x:c r="H1584" s="11" t="n">
        <x:v>33565.35</x:v>
      </x:c>
      <x:c r="I1584" s="11" t="n">
        <x:v>123856.42</x:v>
      </x:c>
    </x:row>
    <x:row r="1585">
      <x:c r="A1585" t="n">
        <x:v>2024</x:v>
      </x:c>
      <x:c r="B1585" t="str">
        <x:v>2024-10</x:v>
      </x:c>
      <x:c r="C1585" t="str">
        <x:v>Coffee</x:v>
      </x:c>
      <x:c r="D1585" t="str">
        <x:v>Grocery</x:v>
      </x:c>
      <x:c r="E1585" t="str">
        <x:v>QLD</x:v>
      </x:c>
      <x:c r="F1585" s="11" t="n">
        <x:v>88987.31</x:v>
      </x:c>
      <x:c r="G1585" s="13" t="n">
        <x:v>15152</x:v>
      </x:c>
      <x:c r="H1585" s="11" t="n">
        <x:v>31062.52</x:v>
      </x:c>
      <x:c r="I1585" s="11" t="n">
        <x:v>119122.09</x:v>
      </x:c>
    </x:row>
    <x:row r="1586">
      <x:c r="A1586" t="n">
        <x:v>2024</x:v>
      </x:c>
      <x:c r="B1586" t="str">
        <x:v>2024-10</x:v>
      </x:c>
      <x:c r="C1586" t="str">
        <x:v>Coffee</x:v>
      </x:c>
      <x:c r="D1586" t="str">
        <x:v>Grocery</x:v>
      </x:c>
      <x:c r="E1586" t="str">
        <x:v>VIC</x:v>
      </x:c>
      <x:c r="F1586" s="11" t="n">
        <x:v>83177.56</x:v>
      </x:c>
      <x:c r="G1586" s="13" t="n">
        <x:v>14100</x:v>
      </x:c>
      <x:c r="H1586" s="11" t="n">
        <x:v>29672.62</x:v>
      </x:c>
      <x:c r="I1586" s="11" t="n">
        <x:v>115534.67</x:v>
      </x:c>
    </x:row>
    <x:row r="1587">
      <x:c r="A1587" t="n">
        <x:v>2024</x:v>
      </x:c>
      <x:c r="B1587" t="str">
        <x:v>2024-10</x:v>
      </x:c>
      <x:c r="C1587" t="str">
        <x:v>Coffee</x:v>
      </x:c>
      <x:c r="D1587" t="str">
        <x:v>Hospitality</x:v>
      </x:c>
      <x:c r="E1587" t="str">
        <x:v>NSW</x:v>
      </x:c>
      <x:c r="F1587" s="11" t="n">
        <x:v>11458.26</x:v>
      </x:c>
      <x:c r="G1587" s="13" t="n">
        <x:v>2118</x:v>
      </x:c>
      <x:c r="H1587" s="11" t="n">
        <x:v>3454.03</x:v>
      </x:c>
      <x:c r="I1587" s="11" t="n">
        <x:v>15580.23</x:v>
      </x:c>
    </x:row>
    <x:row r="1588">
      <x:c r="A1588" t="n">
        <x:v>2024</x:v>
      </x:c>
      <x:c r="B1588" t="str">
        <x:v>2024-10</x:v>
      </x:c>
      <x:c r="C1588" t="str">
        <x:v>Coffee</x:v>
      </x:c>
      <x:c r="D1588" t="str">
        <x:v>Hospitality</x:v>
      </x:c>
      <x:c r="E1588" t="str">
        <x:v>QLD</x:v>
      </x:c>
      <x:c r="F1588" s="11" t="n">
        <x:v>11044.3</x:v>
      </x:c>
      <x:c r="G1588" s="13" t="n">
        <x:v>2092</x:v>
      </x:c>
      <x:c r="H1588" s="11" t="n">
        <x:v>3130.39</x:v>
      </x:c>
      <x:c r="I1588" s="11" t="n">
        <x:v>14999</x:v>
      </x:c>
    </x:row>
    <x:row r="1589">
      <x:c r="A1589" t="n">
        <x:v>2024</x:v>
      </x:c>
      <x:c r="B1589" t="str">
        <x:v>2024-10</x:v>
      </x:c>
      <x:c r="C1589" t="str">
        <x:v>Coffee</x:v>
      </x:c>
      <x:c r="D1589" t="str">
        <x:v>Hospitality</x:v>
      </x:c>
      <x:c r="E1589" t="str">
        <x:v>VIC</x:v>
      </x:c>
      <x:c r="F1589" s="11" t="n">
        <x:v>10835.26</x:v>
      </x:c>
      <x:c r="G1589" s="13" t="n">
        <x:v>2023</x:v>
      </x:c>
      <x:c r="H1589" s="11" t="n">
        <x:v>3168.92</x:v>
      </x:c>
      <x:c r="I1589" s="11" t="n">
        <x:v>14572.53</x:v>
      </x:c>
    </x:row>
    <x:row r="1590">
      <x:c r="A1590" t="n">
        <x:v>2024</x:v>
      </x:c>
      <x:c r="B1590" t="str">
        <x:v>2024-10</x:v>
      </x:c>
      <x:c r="C1590" t="str">
        <x:v>Coffee</x:v>
      </x:c>
      <x:c r="D1590" t="str">
        <x:v>Independent retail</x:v>
      </x:c>
      <x:c r="E1590" t="str">
        <x:v>NSW</x:v>
      </x:c>
      <x:c r="F1590" s="11" t="n">
        <x:v>30932.52</x:v>
      </x:c>
      <x:c r="G1590" s="13" t="n">
        <x:v>5232</x:v>
      </x:c>
      <x:c r="H1590" s="11" t="n">
        <x:v>11206.65</x:v>
      </x:c>
      <x:c r="I1590" s="11" t="n">
        <x:v>42107.33</x:v>
      </x:c>
    </x:row>
    <x:row r="1591">
      <x:c r="A1591" t="n">
        <x:v>2024</x:v>
      </x:c>
      <x:c r="B1591" t="str">
        <x:v>2024-10</x:v>
      </x:c>
      <x:c r="C1591" t="str">
        <x:v>Coffee</x:v>
      </x:c>
      <x:c r="D1591" t="str">
        <x:v>Independent retail</x:v>
      </x:c>
      <x:c r="E1591" t="str">
        <x:v>QLD</x:v>
      </x:c>
      <x:c r="F1591" s="11" t="n">
        <x:v>29804.48</x:v>
      </x:c>
      <x:c r="G1591" s="13" t="n">
        <x:v>4855</x:v>
      </x:c>
      <x:c r="H1591" s="11" t="n">
        <x:v>11374.21</x:v>
      </x:c>
      <x:c r="I1591" s="11" t="n">
        <x:v>40481.13</x:v>
      </x:c>
    </x:row>
    <x:row r="1592">
      <x:c r="A1592" t="n">
        <x:v>2024</x:v>
      </x:c>
      <x:c r="B1592" t="str">
        <x:v>2024-10</x:v>
      </x:c>
      <x:c r="C1592" t="str">
        <x:v>Coffee</x:v>
      </x:c>
      <x:c r="D1592" t="str">
        <x:v>Independent retail</x:v>
      </x:c>
      <x:c r="E1592" t="str">
        <x:v>VIC</x:v>
      </x:c>
      <x:c r="F1592" s="11" t="n">
        <x:v>29179.86</x:v>
      </x:c>
      <x:c r="G1592" s="13" t="n">
        <x:v>4885</x:v>
      </x:c>
      <x:c r="H1592" s="11" t="n">
        <x:v>10762.84</x:v>
      </x:c>
      <x:c r="I1592" s="11" t="n">
        <x:v>39259.25</x:v>
      </x:c>
    </x:row>
    <x:row r="1593">
      <x:c r="A1593" t="n">
        <x:v>2024</x:v>
      </x:c>
      <x:c r="B1593" t="str">
        <x:v>2024-10</x:v>
      </x:c>
      <x:c r="C1593" t="str">
        <x:v>Coffee</x:v>
      </x:c>
      <x:c r="D1593" t="str">
        <x:v>Petrol</x:v>
      </x:c>
      <x:c r="E1593" t="str">
        <x:v>NSW</x:v>
      </x:c>
      <x:c r="F1593" s="11" t="n">
        <x:v>33664.39</x:v>
      </x:c>
      <x:c r="G1593" s="13" t="n">
        <x:v>5069</x:v>
      </x:c>
      <x:c r="H1593" s="11" t="n">
        <x:v>14499.6</x:v>
      </x:c>
      <x:c r="I1593" s="11" t="n">
        <x:v>45448.44</x:v>
      </x:c>
    </x:row>
    <x:row r="1594">
      <x:c r="A1594" t="n">
        <x:v>2024</x:v>
      </x:c>
      <x:c r="B1594" t="str">
        <x:v>2024-10</x:v>
      </x:c>
      <x:c r="C1594" t="str">
        <x:v>Coffee</x:v>
      </x:c>
      <x:c r="D1594" t="str">
        <x:v>Petrol</x:v>
      </x:c>
      <x:c r="E1594" t="str">
        <x:v>QLD</x:v>
      </x:c>
      <x:c r="F1594" s="11" t="n">
        <x:v>31867.07</x:v>
      </x:c>
      <x:c r="G1594" s="13" t="n">
        <x:v>4702</x:v>
      </x:c>
      <x:c r="H1594" s="11" t="n">
        <x:v>13876.460000000001</x:v>
      </x:c>
      <x:c r="I1594" s="11" t="n">
        <x:v>43735.83</x:v>
      </x:c>
    </x:row>
    <x:row r="1595">
      <x:c r="A1595" t="n">
        <x:v>2024</x:v>
      </x:c>
      <x:c r="B1595" t="str">
        <x:v>2024-10</x:v>
      </x:c>
      <x:c r="C1595" t="str">
        <x:v>Coffee</x:v>
      </x:c>
      <x:c r="D1595" t="str">
        <x:v>Petrol</x:v>
      </x:c>
      <x:c r="E1595" t="str">
        <x:v>VIC</x:v>
      </x:c>
      <x:c r="F1595" s="11" t="n">
        <x:v>32320.68</x:v>
      </x:c>
      <x:c r="G1595" s="13" t="n">
        <x:v>4763</x:v>
      </x:c>
      <x:c r="H1595" s="11" t="n">
        <x:v>14153.75</x:v>
      </x:c>
      <x:c r="I1595" s="11" t="n">
        <x:v>42391.43</x:v>
      </x:c>
    </x:row>
    <x:row r="1596">
      <x:c r="A1596" t="n">
        <x:v>2024</x:v>
      </x:c>
      <x:c r="B1596" t="str">
        <x:v>2024-10</x:v>
      </x:c>
      <x:c r="C1596" t="str">
        <x:v>Energy</x:v>
      </x:c>
      <x:c r="D1596" t="str">
        <x:v>Convenience</x:v>
      </x:c>
      <x:c r="E1596" t="str">
        <x:v>NSW</x:v>
      </x:c>
      <x:c r="F1596" s="11" t="n">
        <x:v>94610.28</x:v>
      </x:c>
      <x:c r="G1596" s="13" t="n">
        <x:v>17055</x:v>
      </x:c>
      <x:c r="H1596" s="11" t="n">
        <x:v>57280.28</x:v>
      </x:c>
      <x:c r="I1596" s="11" t="n">
        <x:v>130324.01</x:v>
      </x:c>
    </x:row>
    <x:row r="1597">
      <x:c r="A1597" t="n">
        <x:v>2024</x:v>
      </x:c>
      <x:c r="B1597" t="str">
        <x:v>2024-10</x:v>
      </x:c>
      <x:c r="C1597" t="str">
        <x:v>Energy</x:v>
      </x:c>
      <x:c r="D1597" t="str">
        <x:v>Convenience</x:v>
      </x:c>
      <x:c r="E1597" t="str">
        <x:v>QLD</x:v>
      </x:c>
      <x:c r="F1597" s="11" t="n">
        <x:v>92674.1</x:v>
      </x:c>
      <x:c r="G1597" s="13" t="n">
        <x:v>16682</x:v>
      </x:c>
      <x:c r="H1597" s="11" t="n">
        <x:v>56449.43</x:v>
      </x:c>
      <x:c r="I1597" s="11" t="n">
        <x:v>125311.17</x:v>
      </x:c>
    </x:row>
    <x:row r="1598">
      <x:c r="A1598" t="n">
        <x:v>2024</x:v>
      </x:c>
      <x:c r="B1598" t="str">
        <x:v>2024-10</x:v>
      </x:c>
      <x:c r="C1598" t="str">
        <x:v>Energy</x:v>
      </x:c>
      <x:c r="D1598" t="str">
        <x:v>Convenience</x:v>
      </x:c>
      <x:c r="E1598" t="str">
        <x:v>VIC</x:v>
      </x:c>
      <x:c r="F1598" s="11" t="n">
        <x:v>88084.81</x:v>
      </x:c>
      <x:c r="G1598" s="13" t="n">
        <x:v>15997</x:v>
      </x:c>
      <x:c r="H1598" s="11" t="n">
        <x:v>53487.37</x:v>
      </x:c>
      <x:c r="I1598" s="11" t="n">
        <x:v>121537.99</x:v>
      </x:c>
    </x:row>
    <x:row r="1599">
      <x:c r="A1599" t="n">
        <x:v>2024</x:v>
      </x:c>
      <x:c r="B1599" t="str">
        <x:v>2024-10</x:v>
      </x:c>
      <x:c r="C1599" t="str">
        <x:v>Energy</x:v>
      </x:c>
      <x:c r="D1599" t="str">
        <x:v>Grocery</x:v>
      </x:c>
      <x:c r="E1599" t="str">
        <x:v>NSW</x:v>
      </x:c>
      <x:c r="F1599" s="11" t="n">
        <x:v>375754.93</x:v>
      </x:c>
      <x:c r="G1599" s="13" t="n">
        <x:v>77179</x:v>
      </x:c>
      <x:c r="H1599" s="11" t="n">
        <x:v>201532.69</x:v>
      </x:c>
      <x:c r="I1599" s="11" t="n">
        <x:v>324477</x:v>
      </x:c>
    </x:row>
    <x:row r="1600">
      <x:c r="A1600" t="n">
        <x:v>2024</x:v>
      </x:c>
      <x:c r="B1600" t="str">
        <x:v>2024-10</x:v>
      </x:c>
      <x:c r="C1600" t="str">
        <x:v>Energy</x:v>
      </x:c>
      <x:c r="D1600" t="str">
        <x:v>Grocery</x:v>
      </x:c>
      <x:c r="E1600" t="str">
        <x:v>QLD</x:v>
      </x:c>
      <x:c r="F1600" s="11" t="n">
        <x:v>367286.06</x:v>
      </x:c>
      <x:c r="G1600" s="13" t="n">
        <x:v>77316</x:v>
      </x:c>
      <x:c r="H1600" s="11" t="n">
        <x:v>196084.76</x:v>
      </x:c>
      <x:c r="I1600" s="11" t="n">
        <x:v>312016.57</x:v>
      </x:c>
    </x:row>
    <x:row r="1601">
      <x:c r="A1601" t="n">
        <x:v>2024</x:v>
      </x:c>
      <x:c r="B1601" t="str">
        <x:v>2024-10</x:v>
      </x:c>
      <x:c r="C1601" t="str">
        <x:v>Energy</x:v>
      </x:c>
      <x:c r="D1601" t="str">
        <x:v>Grocery</x:v>
      </x:c>
      <x:c r="E1601" t="str">
        <x:v>VIC</x:v>
      </x:c>
      <x:c r="F1601" s="11" t="n">
        <x:v>345120.04</x:v>
      </x:c>
      <x:c r="G1601" s="13" t="n">
        <x:v>72484</x:v>
      </x:c>
      <x:c r="H1601" s="11" t="n">
        <x:v>183479.75</x:v>
      </x:c>
      <x:c r="I1601" s="11" t="n">
        <x:v>302659.22</x:v>
      </x:c>
    </x:row>
    <x:row r="1602">
      <x:c r="A1602" t="n">
        <x:v>2024</x:v>
      </x:c>
      <x:c r="B1602" t="str">
        <x:v>2024-10</x:v>
      </x:c>
      <x:c r="C1602" t="str">
        <x:v>Energy</x:v>
      </x:c>
      <x:c r="D1602" t="str">
        <x:v>Hospitality</x:v>
      </x:c>
      <x:c r="E1602" t="str">
        <x:v>NSW</x:v>
      </x:c>
      <x:c r="F1602" s="11" t="n">
        <x:v>46645.14</x:v>
      </x:c>
      <x:c r="G1602" s="13" t="n">
        <x:v>10605</x:v>
      </x:c>
      <x:c r="H1602" s="11" t="n">
        <x:v>22952.38</x:v>
      </x:c>
      <x:c r="I1602" s="11" t="n">
        <x:v>40670.46</x:v>
      </x:c>
    </x:row>
    <x:row r="1603">
      <x:c r="A1603" t="n">
        <x:v>2024</x:v>
      </x:c>
      <x:c r="B1603" t="str">
        <x:v>2024-10</x:v>
      </x:c>
      <x:c r="C1603" t="str">
        <x:v>Energy</x:v>
      </x:c>
      <x:c r="D1603" t="str">
        <x:v>Hospitality</x:v>
      </x:c>
      <x:c r="E1603" t="str">
        <x:v>QLD</x:v>
      </x:c>
      <x:c r="F1603" s="11" t="n">
        <x:v>44654.94</x:v>
      </x:c>
      <x:c r="G1603" s="13" t="n">
        <x:v>10110</x:v>
      </x:c>
      <x:c r="H1603" s="11" t="n">
        <x:v>22468.61</x:v>
      </x:c>
      <x:c r="I1603" s="11" t="n">
        <x:v>39123.68</x:v>
      </x:c>
    </x:row>
    <x:row r="1604">
      <x:c r="A1604" t="n">
        <x:v>2024</x:v>
      </x:c>
      <x:c r="B1604" t="str">
        <x:v>2024-10</x:v>
      </x:c>
      <x:c r="C1604" t="str">
        <x:v>Energy</x:v>
      </x:c>
      <x:c r="D1604" t="str">
        <x:v>Hospitality</x:v>
      </x:c>
      <x:c r="E1604" t="str">
        <x:v>VIC</x:v>
      </x:c>
      <x:c r="F1604" s="11" t="n">
        <x:v>44197.61</x:v>
      </x:c>
      <x:c r="G1604" s="13" t="n">
        <x:v>10010</x:v>
      </x:c>
      <x:c r="H1604" s="11" t="n">
        <x:v>21838.32</x:v>
      </x:c>
      <x:c r="I1604" s="11" t="n">
        <x:v>37927.77</x:v>
      </x:c>
    </x:row>
    <x:row r="1605">
      <x:c r="A1605" t="n">
        <x:v>2024</x:v>
      </x:c>
      <x:c r="B1605" t="str">
        <x:v>2024-10</x:v>
      </x:c>
      <x:c r="C1605" t="str">
        <x:v>Energy</x:v>
      </x:c>
      <x:c r="D1605" t="str">
        <x:v>Independent retail</x:v>
      </x:c>
      <x:c r="E1605" t="str">
        <x:v>NSW</x:v>
      </x:c>
      <x:c r="F1605" s="11" t="n">
        <x:v>124548.39</x:v>
      </x:c>
      <x:c r="G1605" s="13" t="n">
        <x:v>25455</x:v>
      </x:c>
      <x:c r="H1605" s="11" t="n">
        <x:v>69457.92</x:v>
      </x:c>
      <x:c r="I1605" s="11" t="n">
        <x:v>110261.69</x:v>
      </x:c>
    </x:row>
    <x:row r="1606">
      <x:c r="A1606" t="n">
        <x:v>2024</x:v>
      </x:c>
      <x:c r="B1606" t="str">
        <x:v>2024-10</x:v>
      </x:c>
      <x:c r="C1606" t="str">
        <x:v>Energy</x:v>
      </x:c>
      <x:c r="D1606" t="str">
        <x:v>Independent retail</x:v>
      </x:c>
      <x:c r="E1606" t="str">
        <x:v>QLD</x:v>
      </x:c>
      <x:c r="F1606" s="11" t="n">
        <x:v>117588.09</x:v>
      </x:c>
      <x:c r="G1606" s="13" t="n">
        <x:v>23558</x:v>
      </x:c>
      <x:c r="H1606" s="11" t="n">
        <x:v>65433.84</x:v>
      </x:c>
      <x:c r="I1606" s="11" t="n">
        <x:v>106018.75</x:v>
      </x:c>
    </x:row>
    <x:row r="1607">
      <x:c r="A1607" t="n">
        <x:v>2024</x:v>
      </x:c>
      <x:c r="B1607" t="str">
        <x:v>2024-10</x:v>
      </x:c>
      <x:c r="C1607" t="str">
        <x:v>Energy</x:v>
      </x:c>
      <x:c r="D1607" t="str">
        <x:v>Independent retail</x:v>
      </x:c>
      <x:c r="E1607" t="str">
        <x:v>VIC</x:v>
      </x:c>
      <x:c r="F1607" s="11" t="n">
        <x:v>118510.41</x:v>
      </x:c>
      <x:c r="G1607" s="13" t="n">
        <x:v>23630</x:v>
      </x:c>
      <x:c r="H1607" s="11" t="n">
        <x:v>66415.65</x:v>
      </x:c>
      <x:c r="I1607" s="11" t="n">
        <x:v>102805.39</x:v>
      </x:c>
    </x:row>
    <x:row r="1608">
      <x:c r="A1608" t="n">
        <x:v>2024</x:v>
      </x:c>
      <x:c r="B1608" t="str">
        <x:v>2024-10</x:v>
      </x:c>
      <x:c r="C1608" t="str">
        <x:v>Energy</x:v>
      </x:c>
      <x:c r="D1608" t="str">
        <x:v>Petrol</x:v>
      </x:c>
      <x:c r="E1608" t="str">
        <x:v>NSW</x:v>
      </x:c>
      <x:c r="F1608" s="11" t="n">
        <x:v>135500.91</x:v>
      </x:c>
      <x:c r="G1608" s="13" t="n">
        <x:v>24494</x:v>
      </x:c>
      <x:c r="H1608" s="11" t="n">
        <x:v>80278.56</x:v>
      </x:c>
      <x:c r="I1608" s="11" t="n">
        <x:v>118905.6</x:v>
      </x:c>
    </x:row>
    <x:row r="1609">
      <x:c r="A1609" t="n">
        <x:v>2024</x:v>
      </x:c>
      <x:c r="B1609" t="str">
        <x:v>2024-10</x:v>
      </x:c>
      <x:c r="C1609" t="str">
        <x:v>Energy</x:v>
      </x:c>
      <x:c r="D1609" t="str">
        <x:v>Petrol</x:v>
      </x:c>
      <x:c r="E1609" t="str">
        <x:v>QLD</x:v>
      </x:c>
      <x:c r="F1609" s="11" t="n">
        <x:v>134534.57</x:v>
      </x:c>
      <x:c r="G1609" s="13" t="n">
        <x:v>24806</x:v>
      </x:c>
      <x:c r="H1609" s="11" t="n">
        <x:v>78741.39</x:v>
      </x:c>
      <x:c r="I1609" s="11" t="n">
        <x:v>114317.32</x:v>
      </x:c>
    </x:row>
    <x:row r="1610">
      <x:c r="A1610" t="n">
        <x:v>2024</x:v>
      </x:c>
      <x:c r="B1610" t="str">
        <x:v>2024-10</x:v>
      </x:c>
      <x:c r="C1610" t="str">
        <x:v>Energy</x:v>
      </x:c>
      <x:c r="D1610" t="str">
        <x:v>Petrol</x:v>
      </x:c>
      <x:c r="E1610" t="str">
        <x:v>VIC</x:v>
      </x:c>
      <x:c r="F1610" s="11" t="n">
        <x:v>127802.05</x:v>
      </x:c>
      <x:c r="G1610" s="13" t="n">
        <x:v>23609</x:v>
      </x:c>
      <x:c r="H1610" s="11" t="n">
        <x:v>75091.14</x:v>
      </x:c>
      <x:c r="I1610" s="11" t="n">
        <x:v>110877.17</x:v>
      </x:c>
    </x:row>
    <x:row r="1611">
      <x:c r="A1611" t="n">
        <x:v>2024</x:v>
      </x:c>
      <x:c r="B1611" t="str">
        <x:v>2024-10</x:v>
      </x:c>
      <x:c r="C1611" t="str">
        <x:v>Sparkling</x:v>
      </x:c>
      <x:c r="D1611" t="str">
        <x:v>Convenience</x:v>
      </x:c>
      <x:c r="E1611" t="str">
        <x:v>NSW</x:v>
      </x:c>
      <x:c r="F1611" s="11" t="n">
        <x:v>131906.06</x:v>
      </x:c>
      <x:c r="G1611" s="13" t="n">
        <x:v>31614</x:v>
      </x:c>
      <x:c r="H1611" s="11" t="n">
        <x:v>72796.12</x:v>
      </x:c>
      <x:c r="I1611" s="11" t="n">
        <x:v>133725.48</x:v>
      </x:c>
    </x:row>
    <x:row r="1612">
      <x:c r="A1612" t="n">
        <x:v>2024</x:v>
      </x:c>
      <x:c r="B1612" t="str">
        <x:v>2024-10</x:v>
      </x:c>
      <x:c r="C1612" t="str">
        <x:v>Sparkling</x:v>
      </x:c>
      <x:c r="D1612" t="str">
        <x:v>Convenience</x:v>
      </x:c>
      <x:c r="E1612" t="str">
        <x:v>QLD</x:v>
      </x:c>
      <x:c r="F1612" s="11" t="n">
        <x:v>125849.48</x:v>
      </x:c>
      <x:c r="G1612" s="13" t="n">
        <x:v>30269</x:v>
      </x:c>
      <x:c r="H1612" s="11" t="n">
        <x:v>68461.28</x:v>
      </x:c>
      <x:c r="I1612" s="11" t="n">
        <x:v>128596.81999999999</x:v>
      </x:c>
    </x:row>
    <x:row r="1613">
      <x:c r="A1613" t="n">
        <x:v>2024</x:v>
      </x:c>
      <x:c r="B1613" t="str">
        <x:v>2024-10</x:v>
      </x:c>
      <x:c r="C1613" t="str">
        <x:v>Sparkling</x:v>
      </x:c>
      <x:c r="D1613" t="str">
        <x:v>Convenience</x:v>
      </x:c>
      <x:c r="E1613" t="str">
        <x:v>VIC</x:v>
      </x:c>
      <x:c r="F1613" s="11" t="n">
        <x:v>124475.48</x:v>
      </x:c>
      <x:c r="G1613" s="13" t="n">
        <x:v>29652</x:v>
      </x:c>
      <x:c r="H1613" s="11" t="n">
        <x:v>68628.37</x:v>
      </x:c>
      <x:c r="I1613" s="11" t="n">
        <x:v>124732.74</x:v>
      </x:c>
    </x:row>
    <x:row r="1614">
      <x:c r="A1614" t="n">
        <x:v>2024</x:v>
      </x:c>
      <x:c r="B1614" t="str">
        <x:v>2024-10</x:v>
      </x:c>
      <x:c r="C1614" t="str">
        <x:v>Sparkling</x:v>
      </x:c>
      <x:c r="D1614" t="str">
        <x:v>Grocery</x:v>
      </x:c>
      <x:c r="E1614" t="str">
        <x:v>NSW</x:v>
      </x:c>
      <x:c r="F1614" s="11" t="n">
        <x:v>336378.11</x:v>
      </x:c>
      <x:c r="G1614" s="13" t="n">
        <x:v>94360</x:v>
      </x:c>
      <x:c r="H1614" s="11" t="n">
        <x:v>156686.53</x:v>
      </x:c>
      <x:c r="I1614" s="11" t="n">
        <x:v>332475.02</x:v>
      </x:c>
    </x:row>
    <x:row r="1615">
      <x:c r="A1615" t="n">
        <x:v>2024</x:v>
      </x:c>
      <x:c r="B1615" t="str">
        <x:v>2024-10</x:v>
      </x:c>
      <x:c r="C1615" t="str">
        <x:v>Sparkling</x:v>
      </x:c>
      <x:c r="D1615" t="str">
        <x:v>Grocery</x:v>
      </x:c>
      <x:c r="E1615" t="str">
        <x:v>QLD</x:v>
      </x:c>
      <x:c r="F1615" s="11" t="n">
        <x:v>314019.85</x:v>
      </x:c>
      <x:c r="G1615" s="13" t="n">
        <x:v>88412</x:v>
      </x:c>
      <x:c r="H1615" s="11" t="n">
        <x:v>149748.85</x:v>
      </x:c>
      <x:c r="I1615" s="11" t="n">
        <x:v>319696.74</x:v>
      </x:c>
    </x:row>
    <x:row r="1616">
      <x:c r="A1616" t="n">
        <x:v>2024</x:v>
      </x:c>
      <x:c r="B1616" t="str">
        <x:v>2024-10</x:v>
      </x:c>
      <x:c r="C1616" t="str">
        <x:v>Sparkling</x:v>
      </x:c>
      <x:c r="D1616" t="str">
        <x:v>Grocery</x:v>
      </x:c>
      <x:c r="E1616" t="str">
        <x:v>VIC</x:v>
      </x:c>
      <x:c r="F1616" s="11" t="n">
        <x:v>308703.43</x:v>
      </x:c>
      <x:c r="G1616" s="13" t="n">
        <x:v>86641</x:v>
      </x:c>
      <x:c r="H1616" s="11" t="n">
        <x:v>146017.81</x:v>
      </x:c>
      <x:c r="I1616" s="11" t="n">
        <x:v>310125.97</x:v>
      </x:c>
    </x:row>
    <x:row r="1617">
      <x:c r="A1617" t="n">
        <x:v>2024</x:v>
      </x:c>
      <x:c r="B1617" t="str">
        <x:v>2024-10</x:v>
      </x:c>
      <x:c r="C1617" t="str">
        <x:v>Sparkling</x:v>
      </x:c>
      <x:c r="D1617" t="str">
        <x:v>Hospitality</x:v>
      </x:c>
      <x:c r="E1617" t="str">
        <x:v>NSW</x:v>
      </x:c>
      <x:c r="F1617" s="11" t="n">
        <x:v>42027.77</x:v>
      </x:c>
      <x:c r="G1617" s="13" t="n">
        <x:v>12769</x:v>
      </x:c>
      <x:c r="H1617" s="11" t="n">
        <x:v>17964.88</x:v>
      </x:c>
      <x:c r="I1617" s="11" t="n">
        <x:v>41590.86</x:v>
      </x:c>
    </x:row>
    <x:row r="1618">
      <x:c r="A1618" t="n">
        <x:v>2024</x:v>
      </x:c>
      <x:c r="B1618" t="str">
        <x:v>2024-10</x:v>
      </x:c>
      <x:c r="C1618" t="str">
        <x:v>Sparkling</x:v>
      </x:c>
      <x:c r="D1618" t="str">
        <x:v>Hospitality</x:v>
      </x:c>
      <x:c r="E1618" t="str">
        <x:v>QLD</x:v>
      </x:c>
      <x:c r="F1618" s="11" t="n">
        <x:v>39163.88</x:v>
      </x:c>
      <x:c r="G1618" s="13" t="n">
        <x:v>11763</x:v>
      </x:c>
      <x:c r="H1618" s="11" t="n">
        <x:v>17032.52</x:v>
      </x:c>
      <x:c r="I1618" s="11" t="n">
        <x:v>39996.45</x:v>
      </x:c>
    </x:row>
    <x:row r="1619">
      <x:c r="A1619" t="n">
        <x:v>2024</x:v>
      </x:c>
      <x:c r="B1619" t="str">
        <x:v>2024-10</x:v>
      </x:c>
      <x:c r="C1619" t="str">
        <x:v>Sparkling</x:v>
      </x:c>
      <x:c r="D1619" t="str">
        <x:v>Hospitality</x:v>
      </x:c>
      <x:c r="E1619" t="str">
        <x:v>VIC</x:v>
      </x:c>
      <x:c r="F1619" s="11" t="n">
        <x:v>37557.16</x:v>
      </x:c>
      <x:c r="G1619" s="13" t="n">
        <x:v>11420</x:v>
      </x:c>
      <x:c r="H1619" s="11" t="n">
        <x:v>16191.9</x:v>
      </x:c>
      <x:c r="I1619" s="11" t="n">
        <x:v>38806.86</x:v>
      </x:c>
    </x:row>
    <x:row r="1620">
      <x:c r="A1620" t="n">
        <x:v>2024</x:v>
      </x:c>
      <x:c r="B1620" t="str">
        <x:v>2024-10</x:v>
      </x:c>
      <x:c r="C1620" t="str">
        <x:v>Sparkling</x:v>
      </x:c>
      <x:c r="D1620" t="str">
        <x:v>Independent retail</x:v>
      </x:c>
      <x:c r="E1620" t="str">
        <x:v>NSW</x:v>
      </x:c>
      <x:c r="F1620" s="11" t="n">
        <x:v>112484.97</x:v>
      </x:c>
      <x:c r="G1620" s="13" t="n">
        <x:v>29993</x:v>
      </x:c>
      <x:c r="H1620" s="11" t="n">
        <x:v>55641.12</x:v>
      </x:c>
      <x:c r="I1620" s="11" t="n">
        <x:v>113144.52</x:v>
      </x:c>
    </x:row>
    <x:row r="1621">
      <x:c r="A1621" t="n">
        <x:v>2024</x:v>
      </x:c>
      <x:c r="B1621" t="str">
        <x:v>2024-10</x:v>
      </x:c>
      <x:c r="C1621" t="str">
        <x:v>Sparkling</x:v>
      </x:c>
      <x:c r="D1621" t="str">
        <x:v>Independent retail</x:v>
      </x:c>
      <x:c r="E1621" t="str">
        <x:v>QLD</x:v>
      </x:c>
      <x:c r="F1621" s="11" t="n">
        <x:v>107856.48</x:v>
      </x:c>
      <x:c r="G1621" s="13" t="n">
        <x:v>29222</x:v>
      </x:c>
      <x:c r="H1621" s="11" t="n">
        <x:v>51834.23</x:v>
      </x:c>
      <x:c r="I1621" s="11" t="n">
        <x:v>108805.19</x:v>
      </x:c>
    </x:row>
    <x:row r="1622">
      <x:c r="A1622" t="n">
        <x:v>2024</x:v>
      </x:c>
      <x:c r="B1622" t="str">
        <x:v>2024-10</x:v>
      </x:c>
      <x:c r="C1622" t="str">
        <x:v>Sparkling</x:v>
      </x:c>
      <x:c r="D1622" t="str">
        <x:v>Independent retail</x:v>
      </x:c>
      <x:c r="E1622" t="str">
        <x:v>VIC</x:v>
      </x:c>
      <x:c r="F1622" s="11" t="n">
        <x:v>103314.49</x:v>
      </x:c>
      <x:c r="G1622" s="13" t="n">
        <x:v>27825</x:v>
      </x:c>
      <x:c r="H1622" s="11" t="n">
        <x:v>50472.93</x:v>
      </x:c>
      <x:c r="I1622" s="11" t="n">
        <x:v>105534.67</x:v>
      </x:c>
    </x:row>
    <x:row r="1623">
      <x:c r="A1623" t="n">
        <x:v>2024</x:v>
      </x:c>
      <x:c r="B1623" t="str">
        <x:v>2024-10</x:v>
      </x:c>
      <x:c r="C1623" t="str">
        <x:v>Sparkling</x:v>
      </x:c>
      <x:c r="D1623" t="str">
        <x:v>Petrol</x:v>
      </x:c>
      <x:c r="E1623" t="str">
        <x:v>NSW</x:v>
      </x:c>
      <x:c r="F1623" s="11" t="n">
        <x:v>120145.19</x:v>
      </x:c>
      <x:c r="G1623" s="13" t="n">
        <x:v>30360</x:v>
      </x:c>
      <x:c r="H1623" s="11" t="n">
        <x:v>62685.31</x:v>
      </x:c>
      <x:c r="I1623" s="11" t="n">
        <x:v>121933.81</x:v>
      </x:c>
    </x:row>
    <x:row r="1624">
      <x:c r="A1624" t="n">
        <x:v>2024</x:v>
      </x:c>
      <x:c r="B1624" t="str">
        <x:v>2024-10</x:v>
      </x:c>
      <x:c r="C1624" t="str">
        <x:v>Sparkling</x:v>
      </x:c>
      <x:c r="D1624" t="str">
        <x:v>Petrol</x:v>
      </x:c>
      <x:c r="E1624" t="str">
        <x:v>QLD</x:v>
      </x:c>
      <x:c r="F1624" s="11" t="n">
        <x:v>115313.4</x:v>
      </x:c>
      <x:c r="G1624" s="13" t="n">
        <x:v>29211</x:v>
      </x:c>
      <x:c r="H1624" s="11" t="n">
        <x:v>60382.53</x:v>
      </x:c>
      <x:c r="I1624" s="11" t="n">
        <x:v>117253.92</x:v>
      </x:c>
    </x:row>
    <x:row r="1625">
      <x:c r="A1625" t="n">
        <x:v>2024</x:v>
      </x:c>
      <x:c r="B1625" t="str">
        <x:v>2024-10</x:v>
      </x:c>
      <x:c r="C1625" t="str">
        <x:v>Sparkling</x:v>
      </x:c>
      <x:c r="D1625" t="str">
        <x:v>Petrol</x:v>
      </x:c>
      <x:c r="E1625" t="str">
        <x:v>VIC</x:v>
      </x:c>
      <x:c r="F1625" s="11" t="n">
        <x:v>116081.83</x:v>
      </x:c>
      <x:c r="G1625" s="13" t="n">
        <x:v>29347</x:v>
      </x:c>
      <x:c r="H1625" s="11" t="n">
        <x:v>60461.55</x:v>
      </x:c>
      <x:c r="I1625" s="11" t="n">
        <x:v>113741</x:v>
      </x:c>
    </x:row>
    <x:row r="1626">
      <x:c r="A1626" t="n">
        <x:v>2024</x:v>
      </x:c>
      <x:c r="B1626" t="str">
        <x:v>2024-10</x:v>
      </x:c>
      <x:c r="C1626" t="str">
        <x:v>Sports</x:v>
      </x:c>
      <x:c r="D1626" t="str">
        <x:v>Convenience</x:v>
      </x:c>
      <x:c r="E1626" t="str">
        <x:v>NSW</x:v>
      </x:c>
      <x:c r="F1626" s="11" t="n">
        <x:v>77211.35</x:v>
      </x:c>
      <x:c r="G1626" s="13" t="n">
        <x:v>14687</x:v>
      </x:c>
      <x:c r="H1626" s="11" t="n">
        <x:v>41843.63</x:v>
      </x:c>
      <x:c r="I1626" s="11" t="n">
        <x:v>73833.1</x:v>
      </x:c>
    </x:row>
    <x:row r="1627">
      <x:c r="A1627" t="n">
        <x:v>2024</x:v>
      </x:c>
      <x:c r="B1627" t="str">
        <x:v>2024-10</x:v>
      </x:c>
      <x:c r="C1627" t="str">
        <x:v>Sports</x:v>
      </x:c>
      <x:c r="D1627" t="str">
        <x:v>Convenience</x:v>
      </x:c>
      <x:c r="E1627" t="str">
        <x:v>QLD</x:v>
      </x:c>
      <x:c r="F1627" s="11" t="n">
        <x:v>74002.07</x:v>
      </x:c>
      <x:c r="G1627" s="13" t="n">
        <x:v>14279</x:v>
      </x:c>
      <x:c r="H1627" s="11" t="n">
        <x:v>39058.52</x:v>
      </x:c>
      <x:c r="I1627" s="11" t="n">
        <x:v>70984.29</x:v>
      </x:c>
    </x:row>
    <x:row r="1628">
      <x:c r="A1628" t="n">
        <x:v>2024</x:v>
      </x:c>
      <x:c r="B1628" t="str">
        <x:v>2024-10</x:v>
      </x:c>
      <x:c r="C1628" t="str">
        <x:v>Sports</x:v>
      </x:c>
      <x:c r="D1628" t="str">
        <x:v>Convenience</x:v>
      </x:c>
      <x:c r="E1628" t="str">
        <x:v>VIC</x:v>
      </x:c>
      <x:c r="F1628" s="11" t="n">
        <x:v>71799.49</x:v>
      </x:c>
      <x:c r="G1628" s="13" t="n">
        <x:v>13537</x:v>
      </x:c>
      <x:c r="H1628" s="11" t="n">
        <x:v>38708.87</x:v>
      </x:c>
      <x:c r="I1628" s="11" t="n">
        <x:v>68856.29</x:v>
      </x:c>
    </x:row>
    <x:row r="1629">
      <x:c r="A1629" t="n">
        <x:v>2024</x:v>
      </x:c>
      <x:c r="B1629" t="str">
        <x:v>2024-10</x:v>
      </x:c>
      <x:c r="C1629" t="str">
        <x:v>Sports</x:v>
      </x:c>
      <x:c r="D1629" t="str">
        <x:v>Grocery</x:v>
      </x:c>
      <x:c r="E1629" t="str">
        <x:v>NSW</x:v>
      </x:c>
      <x:c r="F1629" s="11" t="n">
        <x:v>195391.97</x:v>
      </x:c>
      <x:c r="G1629" s="13" t="n">
        <x:v>46330</x:v>
      </x:c>
      <x:c r="H1629" s="11" t="n">
        <x:v>85091.85</x:v>
      </x:c>
      <x:c r="I1629" s="11" t="n">
        <x:v>183271.81</x:v>
      </x:c>
    </x:row>
    <x:row r="1630">
      <x:c r="A1630" t="n">
        <x:v>2024</x:v>
      </x:c>
      <x:c r="B1630" t="str">
        <x:v>2024-10</x:v>
      </x:c>
      <x:c r="C1630" t="str">
        <x:v>Sports</x:v>
      </x:c>
      <x:c r="D1630" t="str">
        <x:v>Grocery</x:v>
      </x:c>
      <x:c r="E1630" t="str">
        <x:v>QLD</x:v>
      </x:c>
      <x:c r="F1630" s="11" t="n">
        <x:v>183821.52</x:v>
      </x:c>
      <x:c r="G1630" s="13" t="n">
        <x:v>41604</x:v>
      </x:c>
      <x:c r="H1630" s="11" t="n">
        <x:v>84519.8</x:v>
      </x:c>
      <x:c r="I1630" s="11" t="n">
        <x:v>176216.32</x:v>
      </x:c>
    </x:row>
    <x:row r="1631">
      <x:c r="A1631" t="n">
        <x:v>2024</x:v>
      </x:c>
      <x:c r="B1631" t="str">
        <x:v>2024-10</x:v>
      </x:c>
      <x:c r="C1631" t="str">
        <x:v>Sports</x:v>
      </x:c>
      <x:c r="D1631" t="str">
        <x:v>Grocery</x:v>
      </x:c>
      <x:c r="E1631" t="str">
        <x:v>VIC</x:v>
      </x:c>
      <x:c r="F1631" s="11" t="n">
        <x:v>183679.01</x:v>
      </x:c>
      <x:c r="G1631" s="13" t="n">
        <x:v>42673</x:v>
      </x:c>
      <x:c r="H1631" s="11" t="n">
        <x:v>81689.55</x:v>
      </x:c>
      <x:c r="I1631" s="11" t="n">
        <x:v>170947.69</x:v>
      </x:c>
    </x:row>
    <x:row r="1632">
      <x:c r="A1632" t="n">
        <x:v>2024</x:v>
      </x:c>
      <x:c r="B1632" t="str">
        <x:v>2024-10</x:v>
      </x:c>
      <x:c r="C1632" t="str">
        <x:v>Sports</x:v>
      </x:c>
      <x:c r="D1632" t="str">
        <x:v>Hospitality</x:v>
      </x:c>
      <x:c r="E1632" t="str">
        <x:v>NSW</x:v>
      </x:c>
      <x:c r="F1632" s="11" t="n">
        <x:v>24683.46</x:v>
      </x:c>
      <x:c r="G1632" s="13" t="n">
        <x:v>6205</x:v>
      </x:c>
      <x:c r="H1632" s="11" t="n">
        <x:v>9829.61</x:v>
      </x:c>
      <x:c r="I1632" s="11" t="n">
        <x:v>22939.44</x:v>
      </x:c>
    </x:row>
    <x:row r="1633">
      <x:c r="A1633" t="n">
        <x:v>2024</x:v>
      </x:c>
      <x:c r="B1633" t="str">
        <x:v>2024-10</x:v>
      </x:c>
      <x:c r="C1633" t="str">
        <x:v>Sports</x:v>
      </x:c>
      <x:c r="D1633" t="str">
        <x:v>Hospitality</x:v>
      </x:c>
      <x:c r="E1633" t="str">
        <x:v>QLD</x:v>
      </x:c>
      <x:c r="F1633" s="11" t="n">
        <x:v>23033.72</x:v>
      </x:c>
      <x:c r="G1633" s="13" t="n">
        <x:v>5516</x:v>
      </x:c>
      <x:c r="H1633" s="11" t="n">
        <x:v>9729.52</x:v>
      </x:c>
      <x:c r="I1633" s="11" t="n">
        <x:v>22065.38</x:v>
      </x:c>
    </x:row>
    <x:row r="1634">
      <x:c r="A1634" t="n">
        <x:v>2024</x:v>
      </x:c>
      <x:c r="B1634" t="str">
        <x:v>2024-10</x:v>
      </x:c>
      <x:c r="C1634" t="str">
        <x:v>Sports</x:v>
      </x:c>
      <x:c r="D1634" t="str">
        <x:v>Hospitality</x:v>
      </x:c>
      <x:c r="E1634" t="str">
        <x:v>VIC</x:v>
      </x:c>
      <x:c r="F1634" s="11" t="n">
        <x:v>22247.07</x:v>
      </x:c>
      <x:c r="G1634" s="13" t="n">
        <x:v>5517</x:v>
      </x:c>
      <x:c r="H1634" s="11" t="n">
        <x:v>9186.77</x:v>
      </x:c>
      <x:c r="I1634" s="11" t="n">
        <x:v>21393.58</x:v>
      </x:c>
    </x:row>
    <x:row r="1635">
      <x:c r="A1635" t="n">
        <x:v>2024</x:v>
      </x:c>
      <x:c r="B1635" t="str">
        <x:v>2024-10</x:v>
      </x:c>
      <x:c r="C1635" t="str">
        <x:v>Sports</x:v>
      </x:c>
      <x:c r="D1635" t="str">
        <x:v>Independent retail</x:v>
      </x:c>
      <x:c r="E1635" t="str">
        <x:v>NSW</x:v>
      </x:c>
      <x:c r="F1635" s="11" t="n">
        <x:v>65129.49</x:v>
      </x:c>
      <x:c r="G1635" s="13" t="n">
        <x:v>13887</x:v>
      </x:c>
      <x:c r="H1635" s="11" t="n">
        <x:v>31346.62</x:v>
      </x:c>
      <x:c r="I1635" s="11" t="n">
        <x:v>62275.67</x:v>
      </x:c>
    </x:row>
    <x:row r="1636">
      <x:c r="A1636" t="n">
        <x:v>2024</x:v>
      </x:c>
      <x:c r="B1636" t="str">
        <x:v>2024-10</x:v>
      </x:c>
      <x:c r="C1636" t="str">
        <x:v>Sports</x:v>
      </x:c>
      <x:c r="D1636" t="str">
        <x:v>Independent retail</x:v>
      </x:c>
      <x:c r="E1636" t="str">
        <x:v>QLD</x:v>
      </x:c>
      <x:c r="F1636" s="11" t="n">
        <x:v>63024.090000000004</x:v>
      </x:c>
      <x:c r="G1636" s="13" t="n">
        <x:v>14137</x:v>
      </x:c>
      <x:c r="H1636" s="11" t="n">
        <x:v>28848.99</x:v>
      </x:c>
      <x:c r="I1636" s="11" t="n">
        <x:v>59883.13</x:v>
      </x:c>
    </x:row>
    <x:row r="1637">
      <x:c r="A1637" t="n">
        <x:v>2024</x:v>
      </x:c>
      <x:c r="B1637" t="str">
        <x:v>2024-10</x:v>
      </x:c>
      <x:c r="C1637" t="str">
        <x:v>Sports</x:v>
      </x:c>
      <x:c r="D1637" t="str">
        <x:v>Independent retail</x:v>
      </x:c>
      <x:c r="E1637" t="str">
        <x:v>VIC</x:v>
      </x:c>
      <x:c r="F1637" s="11" t="n">
        <x:v>60940.72</x:v>
      </x:c>
      <x:c r="G1637" s="13" t="n">
        <x:v>13236</x:v>
      </x:c>
      <x:c r="H1637" s="11" t="n">
        <x:v>28651.42</x:v>
      </x:c>
      <x:c r="I1637" s="11" t="n">
        <x:v>58084.71</x:v>
      </x:c>
    </x:row>
    <x:row r="1638">
      <x:c r="A1638" t="n">
        <x:v>2024</x:v>
      </x:c>
      <x:c r="B1638" t="str">
        <x:v>2024-10</x:v>
      </x:c>
      <x:c r="C1638" t="str">
        <x:v>Sports</x:v>
      </x:c>
      <x:c r="D1638" t="str">
        <x:v>Petrol</x:v>
      </x:c>
      <x:c r="E1638" t="str">
        <x:v>NSW</x:v>
      </x:c>
      <x:c r="F1638" s="11" t="n">
        <x:v>70270.51</x:v>
      </x:c>
      <x:c r="G1638" s="13" t="n">
        <x:v>14476</x:v>
      </x:c>
      <x:c r="H1638" s="11" t="n">
        <x:v>35243.27</x:v>
      </x:c>
      <x:c r="I1638" s="11" t="n">
        <x:v>67522.45</x:v>
      </x:c>
    </x:row>
    <x:row r="1639">
      <x:c r="A1639" t="n">
        <x:v>2024</x:v>
      </x:c>
      <x:c r="B1639" t="str">
        <x:v>2024-10</x:v>
      </x:c>
      <x:c r="C1639" t="str">
        <x:v>Sports</x:v>
      </x:c>
      <x:c r="D1639" t="str">
        <x:v>Petrol</x:v>
      </x:c>
      <x:c r="E1639" t="str">
        <x:v>QLD</x:v>
      </x:c>
      <x:c r="F1639" s="11" t="n">
        <x:v>69508.64</x:v>
      </x:c>
      <x:c r="G1639" s="13" t="n">
        <x:v>14540</x:v>
      </x:c>
      <x:c r="H1639" s="11" t="n">
        <x:v>34734.6</x:v>
      </x:c>
      <x:c r="I1639" s="11" t="n">
        <x:v>64942.28</x:v>
      </x:c>
    </x:row>
    <x:row r="1640">
      <x:c r="A1640" t="n">
        <x:v>2024</x:v>
      </x:c>
      <x:c r="B1640" t="str">
        <x:v>2024-10</x:v>
      </x:c>
      <x:c r="C1640" t="str">
        <x:v>Sports</x:v>
      </x:c>
      <x:c r="D1640" t="str">
        <x:v>Petrol</x:v>
      </x:c>
      <x:c r="E1640" t="str">
        <x:v>VIC</x:v>
      </x:c>
      <x:c r="F1640" s="11" t="n">
        <x:v>66719.36</x:v>
      </x:c>
      <x:c r="G1640" s="13" t="n">
        <x:v>13861</x:v>
      </x:c>
      <x:c r="H1640" s="11" t="n">
        <x:v>33050.17</x:v>
      </x:c>
      <x:c r="I1640" s="11" t="n">
        <x:v>62982.94</x:v>
      </x:c>
    </x:row>
    <x:row r="1641">
      <x:c r="A1641" t="n">
        <x:v>2024</x:v>
      </x:c>
      <x:c r="B1641" t="str">
        <x:v>2024-10</x:v>
      </x:c>
      <x:c r="C1641" t="str">
        <x:v>Water</x:v>
      </x:c>
      <x:c r="D1641" t="str">
        <x:v>Convenience</x:v>
      </x:c>
      <x:c r="E1641" t="str">
        <x:v>NSW</x:v>
      </x:c>
      <x:c r="F1641" s="11" t="n">
        <x:v>87362.64</x:v>
      </x:c>
      <x:c r="G1641" s="13" t="n">
        <x:v>27833</x:v>
      </x:c>
      <x:c r="H1641" s="11" t="n">
        <x:v>41157.63</x:v>
      </x:c>
      <x:c r="I1641" s="11" t="n">
        <x:v>87958.36</x:v>
      </x:c>
    </x:row>
    <x:row r="1642">
      <x:c r="A1642" t="n">
        <x:v>2024</x:v>
      </x:c>
      <x:c r="B1642" t="str">
        <x:v>2024-10</x:v>
      </x:c>
      <x:c r="C1642" t="str">
        <x:v>Water</x:v>
      </x:c>
      <x:c r="D1642" t="str">
        <x:v>Convenience</x:v>
      </x:c>
      <x:c r="E1642" t="str">
        <x:v>QLD</x:v>
      </x:c>
      <x:c r="F1642" s="11" t="n">
        <x:v>86132.71</x:v>
      </x:c>
      <x:c r="G1642" s="13" t="n">
        <x:v>27578</x:v>
      </x:c>
      <x:c r="H1642" s="11" t="n">
        <x:v>41125.68</x:v>
      </x:c>
      <x:c r="I1642" s="11" t="n">
        <x:v>84585.5</x:v>
      </x:c>
    </x:row>
    <x:row r="1643">
      <x:c r="A1643" t="n">
        <x:v>2024</x:v>
      </x:c>
      <x:c r="B1643" t="str">
        <x:v>2024-10</x:v>
      </x:c>
      <x:c r="C1643" t="str">
        <x:v>Water</x:v>
      </x:c>
      <x:c r="D1643" t="str">
        <x:v>Convenience</x:v>
      </x:c>
      <x:c r="E1643" t="str">
        <x:v>VIC</x:v>
      </x:c>
      <x:c r="F1643" s="11" t="n">
        <x:v>81257.11</x:v>
      </x:c>
      <x:c r="G1643" s="13" t="n">
        <x:v>25802</x:v>
      </x:c>
      <x:c r="H1643" s="11" t="n">
        <x:v>38316.9</x:v>
      </x:c>
      <x:c r="I1643" s="11" t="n">
        <x:v>82049.72</x:v>
      </x:c>
    </x:row>
    <x:row r="1644">
      <x:c r="A1644" t="n">
        <x:v>2024</x:v>
      </x:c>
      <x:c r="B1644" t="str">
        <x:v>2024-10</x:v>
      </x:c>
      <x:c r="C1644" t="str">
        <x:v>Water</x:v>
      </x:c>
      <x:c r="D1644" t="str">
        <x:v>Grocery</x:v>
      </x:c>
      <x:c r="E1644" t="str">
        <x:v>NSW</x:v>
      </x:c>
      <x:c r="F1644" s="11" t="n">
        <x:v>219502.7</x:v>
      </x:c>
      <x:c r="G1644" s="13" t="n">
        <x:v>77126</x:v>
      </x:c>
      <x:c r="H1644" s="11" t="n">
        <x:v>91127.76</x:v>
      </x:c>
      <x:c r="I1644" s="11" t="n">
        <x:v>219277.37</x:v>
      </x:c>
    </x:row>
    <x:row r="1645">
      <x:c r="A1645" t="n">
        <x:v>2024</x:v>
      </x:c>
      <x:c r="B1645" t="str">
        <x:v>2024-10</x:v>
      </x:c>
      <x:c r="C1645" t="str">
        <x:v>Water</x:v>
      </x:c>
      <x:c r="D1645" t="str">
        <x:v>Grocery</x:v>
      </x:c>
      <x:c r="E1645" t="str">
        <x:v>QLD</x:v>
      </x:c>
      <x:c r="F1645" s="11" t="n">
        <x:v>207237.77</x:v>
      </x:c>
      <x:c r="G1645" s="13" t="n">
        <x:v>76633</x:v>
      </x:c>
      <x:c r="H1645" s="11" t="n">
        <x:v>81170.8</x:v>
      </x:c>
      <x:c r="I1645" s="11" t="n">
        <x:v>210825.13</x:v>
      </x:c>
    </x:row>
    <x:row r="1646">
      <x:c r="A1646" t="n">
        <x:v>2024</x:v>
      </x:c>
      <x:c r="B1646" t="str">
        <x:v>2024-10</x:v>
      </x:c>
      <x:c r="C1646" t="str">
        <x:v>Water</x:v>
      </x:c>
      <x:c r="D1646" t="str">
        <x:v>Grocery</x:v>
      </x:c>
      <x:c r="E1646" t="str">
        <x:v>VIC</x:v>
      </x:c>
      <x:c r="F1646" s="11" t="n">
        <x:v>196442.1</x:v>
      </x:c>
      <x:c r="G1646" s="13" t="n">
        <x:v>70923</x:v>
      </x:c>
      <x:c r="H1646" s="11" t="n">
        <x:v>79127.6</x:v>
      </x:c>
      <x:c r="I1646" s="11" t="n">
        <x:v>204502.3</x:v>
      </x:c>
    </x:row>
    <x:row r="1647">
      <x:c r="A1647" t="n">
        <x:v>2024</x:v>
      </x:c>
      <x:c r="B1647" t="str">
        <x:v>2024-10</x:v>
      </x:c>
      <x:c r="C1647" t="str">
        <x:v>Water</x:v>
      </x:c>
      <x:c r="D1647" t="str">
        <x:v>Hospitality</x:v>
      </x:c>
      <x:c r="E1647" t="str">
        <x:v>NSW</x:v>
      </x:c>
      <x:c r="F1647" s="11" t="n">
        <x:v>27698.93</x:v>
      </x:c>
      <x:c r="G1647" s="13" t="n">
        <x:v>10714</x:v>
      </x:c>
      <x:c r="H1647" s="11" t="n">
        <x:v>9759.81</x:v>
      </x:c>
      <x:c r="I1647" s="11" t="n">
        <x:v>27449.41</x:v>
      </x:c>
    </x:row>
    <x:row r="1648">
      <x:c r="A1648" t="n">
        <x:v>2024</x:v>
      </x:c>
      <x:c r="B1648" t="str">
        <x:v>2024-10</x:v>
      </x:c>
      <x:c r="C1648" t="str">
        <x:v>Water</x:v>
      </x:c>
      <x:c r="D1648" t="str">
        <x:v>Hospitality</x:v>
      </x:c>
      <x:c r="E1648" t="str">
        <x:v>QLD</x:v>
      </x:c>
      <x:c r="F1648" s="11" t="n">
        <x:v>26322.91</x:v>
      </x:c>
      <x:c r="G1648" s="13" t="n">
        <x:v>10590</x:v>
      </x:c>
      <x:c r="H1648" s="11" t="n">
        <x:v>8786.51</x:v>
      </x:c>
      <x:c r="I1648" s="11" t="n">
        <x:v>26400.91</x:v>
      </x:c>
    </x:row>
    <x:row r="1649">
      <x:c r="A1649" t="n">
        <x:v>2024</x:v>
      </x:c>
      <x:c r="B1649" t="str">
        <x:v>2024-10</x:v>
      </x:c>
      <x:c r="C1649" t="str">
        <x:v>Water</x:v>
      </x:c>
      <x:c r="D1649" t="str">
        <x:v>Hospitality</x:v>
      </x:c>
      <x:c r="E1649" t="str">
        <x:v>VIC</x:v>
      </x:c>
      <x:c r="F1649" s="11" t="n">
        <x:v>25384.76</x:v>
      </x:c>
      <x:c r="G1649" s="13" t="n">
        <x:v>10048</x:v>
      </x:c>
      <x:c r="H1649" s="11" t="n">
        <x:v>8650.02</x:v>
      </x:c>
      <x:c r="I1649" s="11" t="n">
        <x:v>25602.64</x:v>
      </x:c>
    </x:row>
    <x:row r="1650">
      <x:c r="A1650" t="n">
        <x:v>2024</x:v>
      </x:c>
      <x:c r="B1650" t="str">
        <x:v>2024-10</x:v>
      </x:c>
      <x:c r="C1650" t="str">
        <x:v>Water</x:v>
      </x:c>
      <x:c r="D1650" t="str">
        <x:v>Independent retail</x:v>
      </x:c>
      <x:c r="E1650" t="str">
        <x:v>NSW</x:v>
      </x:c>
      <x:c r="F1650" s="11" t="n">
        <x:v>74304.44</x:v>
      </x:c>
      <x:c r="G1650" s="13" t="n">
        <x:v>26775</x:v>
      </x:c>
      <x:c r="H1650" s="11" t="n">
        <x:v>30062.85</x:v>
      </x:c>
      <x:c r="I1650" s="11" t="n">
        <x:v>74649.01</x:v>
      </x:c>
    </x:row>
    <x:row r="1651">
      <x:c r="A1651" t="n">
        <x:v>2024</x:v>
      </x:c>
      <x:c r="B1651" t="str">
        <x:v>2024-10</x:v>
      </x:c>
      <x:c r="C1651" t="str">
        <x:v>Water</x:v>
      </x:c>
      <x:c r="D1651" t="str">
        <x:v>Independent retail</x:v>
      </x:c>
      <x:c r="E1651" t="str">
        <x:v>QLD</x:v>
      </x:c>
      <x:c r="F1651" s="11" t="n">
        <x:v>69743.96</x:v>
      </x:c>
      <x:c r="G1651" s="13" t="n">
        <x:v>24331</x:v>
      </x:c>
      <x:c r="H1651" s="11" t="n">
        <x:v>29661.6</x:v>
      </x:c>
      <x:c r="I1651" s="11" t="n">
        <x:v>71787.20999999999</x:v>
      </x:c>
    </x:row>
    <x:row r="1652">
      <x:c r="A1652" t="n">
        <x:v>2024</x:v>
      </x:c>
      <x:c r="B1652" t="str">
        <x:v>2024-10</x:v>
      </x:c>
      <x:c r="C1652" t="str">
        <x:v>Water</x:v>
      </x:c>
      <x:c r="D1652" t="str">
        <x:v>Independent retail</x:v>
      </x:c>
      <x:c r="E1652" t="str">
        <x:v>VIC</x:v>
      </x:c>
      <x:c r="F1652" s="11" t="n">
        <x:v>70451.84</x:v>
      </x:c>
      <x:c r="G1652" s="13" t="n">
        <x:v>25120</x:v>
      </x:c>
      <x:c r="H1652" s="11" t="n">
        <x:v>29017.21</x:v>
      </x:c>
      <x:c r="I1652" s="11" t="n">
        <x:v>69621.48</x:v>
      </x:c>
    </x:row>
    <x:row r="1653">
      <x:c r="A1653" t="n">
        <x:v>2024</x:v>
      </x:c>
      <x:c r="B1653" t="str">
        <x:v>2024-10</x:v>
      </x:c>
      <x:c r="C1653" t="str">
        <x:v>Water</x:v>
      </x:c>
      <x:c r="D1653" t="str">
        <x:v>Petrol</x:v>
      </x:c>
      <x:c r="E1653" t="str">
        <x:v>NSW</x:v>
      </x:c>
      <x:c r="F1653" s="11" t="n">
        <x:v>80083.18</x:v>
      </x:c>
      <x:c r="G1653" s="13" t="n">
        <x:v>25660</x:v>
      </x:c>
      <x:c r="H1653" s="11" t="n">
        <x:v>37783.11</x:v>
      </x:c>
      <x:c r="I1653" s="11" t="n">
        <x:v>80271.27</x:v>
      </x:c>
    </x:row>
    <x:row r="1654">
      <x:c r="A1654" t="n">
        <x:v>2024</x:v>
      </x:c>
      <x:c r="B1654" t="str">
        <x:v>2024-10</x:v>
      </x:c>
      <x:c r="C1654" t="str">
        <x:v>Water</x:v>
      </x:c>
      <x:c r="D1654" t="str">
        <x:v>Petrol</x:v>
      </x:c>
      <x:c r="E1654" t="str">
        <x:v>QLD</x:v>
      </x:c>
      <x:c r="F1654" s="11" t="n">
        <x:v>78348.7</x:v>
      </x:c>
      <x:c r="G1654" s="13" t="n">
        <x:v>24325</x:v>
      </x:c>
      <x:c r="H1654" s="11" t="n">
        <x:v>37514.26</x:v>
      </x:c>
      <x:c r="I1654" s="11" t="n">
        <x:v>77196.49</x:v>
      </x:c>
    </x:row>
    <x:row r="1655">
      <x:c r="A1655" t="n">
        <x:v>2024</x:v>
      </x:c>
      <x:c r="B1655" t="str">
        <x:v>2024-10</x:v>
      </x:c>
      <x:c r="C1655" t="str">
        <x:v>Water</x:v>
      </x:c>
      <x:c r="D1655" t="str">
        <x:v>Petrol</x:v>
      </x:c>
      <x:c r="E1655" t="str">
        <x:v>VIC</x:v>
      </x:c>
      <x:c r="F1655" s="11" t="n">
        <x:v>73119.69</x:v>
      </x:c>
      <x:c r="G1655" s="13" t="n">
        <x:v>23091</x:v>
      </x:c>
      <x:c r="H1655" s="11" t="n">
        <x:v>35004.48</x:v>
      </x:c>
      <x:c r="I1655" s="11" t="n">
        <x:v>74876.39</x:v>
      </x:c>
    </x:row>
    <x:row r="1656">
      <x:c r="A1656" t="n">
        <x:v>2024</x:v>
      </x:c>
      <x:c r="B1656" t="str">
        <x:v>2024-11</x:v>
      </x:c>
      <x:c r="C1656" t="str">
        <x:v>Coffee</x:v>
      </x:c>
      <x:c r="D1656" t="str">
        <x:v>Convenience</x:v>
      </x:c>
      <x:c r="E1656" t="str">
        <x:v>NSW</x:v>
      </x:c>
      <x:c r="F1656" s="11" t="n">
        <x:v>42308.35</x:v>
      </x:c>
      <x:c r="G1656" s="13" t="n">
        <x:v>5846</x:v>
      </x:c>
      <x:c r="H1656" s="11" t="n">
        <x:v>19473.24</x:v>
      </x:c>
      <x:c r="I1656" s="11" t="n">
        <x:v>54468.97</x:v>
      </x:c>
    </x:row>
    <x:row r="1657">
      <x:c r="A1657" t="n">
        <x:v>2024</x:v>
      </x:c>
      <x:c r="B1657" t="str">
        <x:v>2024-11</x:v>
      </x:c>
      <x:c r="C1657" t="str">
        <x:v>Coffee</x:v>
      </x:c>
      <x:c r="D1657" t="str">
        <x:v>Convenience</x:v>
      </x:c>
      <x:c r="E1657" t="str">
        <x:v>QLD</x:v>
      </x:c>
      <x:c r="F1657" s="11" t="n">
        <x:v>38946.55</x:v>
      </x:c>
      <x:c r="G1657" s="13" t="n">
        <x:v>5568</x:v>
      </x:c>
      <x:c r="H1657" s="11" t="n">
        <x:v>17241.38</x:v>
      </x:c>
      <x:c r="I1657" s="11" t="n">
        <x:v>52348.19</x:v>
      </x:c>
    </x:row>
    <x:row r="1658">
      <x:c r="A1658" t="n">
        <x:v>2024</x:v>
      </x:c>
      <x:c r="B1658" t="str">
        <x:v>2024-11</x:v>
      </x:c>
      <x:c r="C1658" t="str">
        <x:v>Coffee</x:v>
      </x:c>
      <x:c r="D1658" t="str">
        <x:v>Convenience</x:v>
      </x:c>
      <x:c r="E1658" t="str">
        <x:v>VIC</x:v>
      </x:c>
      <x:c r="F1658" s="11" t="n">
        <x:v>37405.81</x:v>
      </x:c>
      <x:c r="G1658" s="13" t="n">
        <x:v>5292</x:v>
      </x:c>
      <x:c r="H1658" s="11" t="n">
        <x:v>16976.95</x:v>
      </x:c>
      <x:c r="I1658" s="11" t="n">
        <x:v>50799.4</x:v>
      </x:c>
    </x:row>
    <x:row r="1659">
      <x:c r="A1659" t="n">
        <x:v>2024</x:v>
      </x:c>
      <x:c r="B1659" t="str">
        <x:v>2024-11</x:v>
      </x:c>
      <x:c r="C1659" t="str">
        <x:v>Coffee</x:v>
      </x:c>
      <x:c r="D1659" t="str">
        <x:v>Grocery</x:v>
      </x:c>
      <x:c r="E1659" t="str">
        <x:v>NSW</x:v>
      </x:c>
      <x:c r="F1659" s="11" t="n">
        <x:v>100219.49</x:v>
      </x:c>
      <x:c r="G1659" s="13" t="n">
        <x:v>16646</x:v>
      </x:c>
      <x:c r="H1659" s="11" t="n">
        <x:v>34955.46</x:v>
      </x:c>
      <x:c r="I1659" s="11" t="n">
        <x:v>135292.95</x:v>
      </x:c>
    </x:row>
    <x:row r="1660">
      <x:c r="A1660" t="n">
        <x:v>2024</x:v>
      </x:c>
      <x:c r="B1660" t="str">
        <x:v>2024-11</x:v>
      </x:c>
      <x:c r="C1660" t="str">
        <x:v>Coffee</x:v>
      </x:c>
      <x:c r="D1660" t="str">
        <x:v>Grocery</x:v>
      </x:c>
      <x:c r="E1660" t="str">
        <x:v>QLD</x:v>
      </x:c>
      <x:c r="F1660" s="11" t="n">
        <x:v>99700.77</x:v>
      </x:c>
      <x:c r="G1660" s="13" t="n">
        <x:v>16087</x:v>
      </x:c>
      <x:c r="H1660" s="11" t="n">
        <x:v>36744.47</x:v>
      </x:c>
      <x:c r="I1660" s="11" t="n">
        <x:v>130092.02</x:v>
      </x:c>
    </x:row>
    <x:row r="1661">
      <x:c r="A1661" t="n">
        <x:v>2024</x:v>
      </x:c>
      <x:c r="B1661" t="str">
        <x:v>2024-11</x:v>
      </x:c>
      <x:c r="C1661" t="str">
        <x:v>Coffee</x:v>
      </x:c>
      <x:c r="D1661" t="str">
        <x:v>Grocery</x:v>
      </x:c>
      <x:c r="E1661" t="str">
        <x:v>VIC</x:v>
      </x:c>
      <x:c r="F1661" s="11" t="n">
        <x:v>92302.65</x:v>
      </x:c>
      <x:c r="G1661" s="13" t="n">
        <x:v>15515</x:v>
      </x:c>
      <x:c r="H1661" s="11" t="n">
        <x:v>33022.81</x:v>
      </x:c>
      <x:c r="I1661" s="11" t="n">
        <x:v>126176.56</x:v>
      </x:c>
    </x:row>
    <x:row r="1662">
      <x:c r="A1662" t="n">
        <x:v>2024</x:v>
      </x:c>
      <x:c r="B1662" t="str">
        <x:v>2024-11</x:v>
      </x:c>
      <x:c r="C1662" t="str">
        <x:v>Coffee</x:v>
      </x:c>
      <x:c r="D1662" t="str">
        <x:v>Hospitality</x:v>
      </x:c>
      <x:c r="E1662" t="str">
        <x:v>NSW</x:v>
      </x:c>
      <x:c r="F1662" s="11" t="n">
        <x:v>13163.55</x:v>
      </x:c>
      <x:c r="G1662" s="13" t="n">
        <x:v>2383</x:v>
      </x:c>
      <x:c r="H1662" s="11" t="n">
        <x:v>3977.6</x:v>
      </x:c>
      <x:c r="I1662" s="11" t="n">
        <x:v>17070.65</x:v>
      </x:c>
    </x:row>
    <x:row r="1663">
      <x:c r="A1663" t="n">
        <x:v>2024</x:v>
      </x:c>
      <x:c r="B1663" t="str">
        <x:v>2024-11</x:v>
      </x:c>
      <x:c r="C1663" t="str">
        <x:v>Coffee</x:v>
      </x:c>
      <x:c r="D1663" t="str">
        <x:v>Hospitality</x:v>
      </x:c>
      <x:c r="E1663" t="str">
        <x:v>QLD</x:v>
      </x:c>
      <x:c r="F1663" s="11" t="n">
        <x:v>12543.17</x:v>
      </x:c>
      <x:c r="G1663" s="13" t="n">
        <x:v>2247</x:v>
      </x:c>
      <x:c r="H1663" s="11" t="n">
        <x:v>3983.82</x:v>
      </x:c>
      <x:c r="I1663" s="11" t="n">
        <x:v>16401.7</x:v>
      </x:c>
    </x:row>
    <x:row r="1664">
      <x:c r="A1664" t="n">
        <x:v>2024</x:v>
      </x:c>
      <x:c r="B1664" t="str">
        <x:v>2024-11</x:v>
      </x:c>
      <x:c r="C1664" t="str">
        <x:v>Coffee</x:v>
      </x:c>
      <x:c r="D1664" t="str">
        <x:v>Hospitality</x:v>
      </x:c>
      <x:c r="E1664" t="str">
        <x:v>VIC</x:v>
      </x:c>
      <x:c r="F1664" s="11" t="n">
        <x:v>12084.07</x:v>
      </x:c>
      <x:c r="G1664" s="13" t="n">
        <x:v>2171</x:v>
      </x:c>
      <x:c r="H1664" s="11" t="n">
        <x:v>3765.21</x:v>
      </x:c>
      <x:c r="I1664" s="11" t="n">
        <x:v>15867.75</x:v>
      </x:c>
    </x:row>
    <x:row r="1665">
      <x:c r="A1665" t="n">
        <x:v>2024</x:v>
      </x:c>
      <x:c r="B1665" t="str">
        <x:v>2024-11</x:v>
      </x:c>
      <x:c r="C1665" t="str">
        <x:v>Coffee</x:v>
      </x:c>
      <x:c r="D1665" t="str">
        <x:v>Independent retail</x:v>
      </x:c>
      <x:c r="E1665" t="str">
        <x:v>NSW</x:v>
      </x:c>
      <x:c r="F1665" s="11" t="n">
        <x:v>33845.48</x:v>
      </x:c>
      <x:c r="G1665" s="13" t="n">
        <x:v>5381</x:v>
      </x:c>
      <x:c r="H1665" s="11" t="n">
        <x:v>13014.61</x:v>
      </x:c>
      <x:c r="I1665" s="11" t="n">
        <x:v>45990.61</x:v>
      </x:c>
    </x:row>
    <x:row r="1666">
      <x:c r="A1666" t="n">
        <x:v>2024</x:v>
      </x:c>
      <x:c r="B1666" t="str">
        <x:v>2024-11</x:v>
      </x:c>
      <x:c r="C1666" t="str">
        <x:v>Coffee</x:v>
      </x:c>
      <x:c r="D1666" t="str">
        <x:v>Independent retail</x:v>
      </x:c>
      <x:c r="E1666" t="str">
        <x:v>QLD</x:v>
      </x:c>
      <x:c r="F1666" s="11" t="n">
        <x:v>32977.93</x:v>
      </x:c>
      <x:c r="G1666" s="13" t="n">
        <x:v>5373</x:v>
      </x:c>
      <x:c r="H1666" s="11" t="n">
        <x:v>12049.24</x:v>
      </x:c>
      <x:c r="I1666" s="11" t="n">
        <x:v>44183.17</x:v>
      </x:c>
    </x:row>
    <x:row r="1667">
      <x:c r="A1667" t="n">
        <x:v>2024</x:v>
      </x:c>
      <x:c r="B1667" t="str">
        <x:v>2024-11</x:v>
      </x:c>
      <x:c r="C1667" t="str">
        <x:v>Coffee</x:v>
      </x:c>
      <x:c r="D1667" t="str">
        <x:v>Independent retail</x:v>
      </x:c>
      <x:c r="E1667" t="str">
        <x:v>VIC</x:v>
      </x:c>
      <x:c r="F1667" s="11" t="n">
        <x:v>31981.36</x:v>
      </x:c>
      <x:c r="G1667" s="13" t="n">
        <x:v>5165</x:v>
      </x:c>
      <x:c r="H1667" s="11" t="n">
        <x:v>11917.76</x:v>
      </x:c>
      <x:c r="I1667" s="11" t="n">
        <x:v>42899.159999999996</x:v>
      </x:c>
    </x:row>
    <x:row r="1668">
      <x:c r="A1668" t="n">
        <x:v>2024</x:v>
      </x:c>
      <x:c r="B1668" t="str">
        <x:v>2024-11</x:v>
      </x:c>
      <x:c r="C1668" t="str">
        <x:v>Coffee</x:v>
      </x:c>
      <x:c r="D1668" t="str">
        <x:v>Petrol</x:v>
      </x:c>
      <x:c r="E1668" t="str">
        <x:v>NSW</x:v>
      </x:c>
      <x:c r="F1668" s="11" t="n">
        <x:v>35671.56</x:v>
      </x:c>
      <x:c r="G1668" s="13" t="n">
        <x:v>5433</x:v>
      </x:c>
      <x:c r="H1668" s="11" t="n">
        <x:v>14806.57</x:v>
      </x:c>
      <x:c r="I1668" s="11" t="n">
        <x:v>49659.17</x:v>
      </x:c>
    </x:row>
    <x:row r="1669">
      <x:c r="A1669" t="n">
        <x:v>2024</x:v>
      </x:c>
      <x:c r="B1669" t="str">
        <x:v>2024-11</x:v>
      </x:c>
      <x:c r="C1669" t="str">
        <x:v>Coffee</x:v>
      </x:c>
      <x:c r="D1669" t="str">
        <x:v>Petrol</x:v>
      </x:c>
      <x:c r="E1669" t="str">
        <x:v>QLD</x:v>
      </x:c>
      <x:c r="F1669" s="11" t="n">
        <x:v>35888.05</x:v>
      </x:c>
      <x:c r="G1669" s="13" t="n">
        <x:v>5435</x:v>
      </x:c>
      <x:c r="H1669" s="11" t="n">
        <x:v>14993.44</x:v>
      </x:c>
      <x:c r="I1669" s="11" t="n">
        <x:v>47706.26</x:v>
      </x:c>
    </x:row>
    <x:row r="1670">
      <x:c r="A1670" t="n">
        <x:v>2024</x:v>
      </x:c>
      <x:c r="B1670" t="str">
        <x:v>2024-11</x:v>
      </x:c>
      <x:c r="C1670" t="str">
        <x:v>Coffee</x:v>
      </x:c>
      <x:c r="D1670" t="str">
        <x:v>Petrol</x:v>
      </x:c>
      <x:c r="E1670" t="str">
        <x:v>VIC</x:v>
      </x:c>
      <x:c r="F1670" s="11" t="n">
        <x:v>33588.62</x:v>
      </x:c>
      <x:c r="G1670" s="13" t="n">
        <x:v>5164</x:v>
      </x:c>
      <x:c r="H1670" s="11" t="n">
        <x:v>13807.06</x:v>
      </x:c>
      <x:c r="I1670" s="11" t="n">
        <x:v>46323.56</x:v>
      </x:c>
    </x:row>
    <x:row r="1671">
      <x:c r="A1671" t="n">
        <x:v>2024</x:v>
      </x:c>
      <x:c r="B1671" t="str">
        <x:v>2024-11</x:v>
      </x:c>
      <x:c r="C1671" t="str">
        <x:v>Energy</x:v>
      </x:c>
      <x:c r="D1671" t="str">
        <x:v>Convenience</x:v>
      </x:c>
      <x:c r="E1671" t="str">
        <x:v>NSW</x:v>
      </x:c>
      <x:c r="F1671" s="11" t="n">
        <x:v>102880.7</x:v>
      </x:c>
      <x:c r="G1671" s="13" t="n">
        <x:v>18348</x:v>
      </x:c>
      <x:c r="H1671" s="11" t="n">
        <x:v>61862.18</x:v>
      </x:c>
      <x:c r="I1671" s="11" t="n">
        <x:v>136888.63</x:v>
      </x:c>
    </x:row>
    <x:row r="1672">
      <x:c r="A1672" t="n">
        <x:v>2024</x:v>
      </x:c>
      <x:c r="B1672" t="str">
        <x:v>2024-11</x:v>
      </x:c>
      <x:c r="C1672" t="str">
        <x:v>Energy</x:v>
      </x:c>
      <x:c r="D1672" t="str">
        <x:v>Convenience</x:v>
      </x:c>
      <x:c r="E1672" t="str">
        <x:v>QLD</x:v>
      </x:c>
      <x:c r="F1672" s="11" t="n">
        <x:v>98996.71</x:v>
      </x:c>
      <x:c r="G1672" s="13" t="n">
        <x:v>18245</x:v>
      </x:c>
      <x:c r="H1672" s="11" t="n">
        <x:v>58922.58</x:v>
      </x:c>
      <x:c r="I1672" s="11" t="n">
        <x:v>131624.33</x:v>
      </x:c>
    </x:row>
    <x:row r="1673">
      <x:c r="A1673" t="n">
        <x:v>2024</x:v>
      </x:c>
      <x:c r="B1673" t="str">
        <x:v>2024-11</x:v>
      </x:c>
      <x:c r="C1673" t="str">
        <x:v>Energy</x:v>
      </x:c>
      <x:c r="D1673" t="str">
        <x:v>Convenience</x:v>
      </x:c>
      <x:c r="E1673" t="str">
        <x:v>VIC</x:v>
      </x:c>
      <x:c r="F1673" s="11" t="n">
        <x:v>97504.9</x:v>
      </x:c>
      <x:c r="G1673" s="13" t="n">
        <x:v>17559</x:v>
      </x:c>
      <x:c r="H1673" s="11" t="n">
        <x:v>58432.35</x:v>
      </x:c>
      <x:c r="I1673" s="11" t="n">
        <x:v>127681.06</x:v>
      </x:c>
    </x:row>
    <x:row r="1674">
      <x:c r="A1674" t="n">
        <x:v>2024</x:v>
      </x:c>
      <x:c r="B1674" t="str">
        <x:v>2024-11</x:v>
      </x:c>
      <x:c r="C1674" t="str">
        <x:v>Energy</x:v>
      </x:c>
      <x:c r="D1674" t="str">
        <x:v>Grocery</x:v>
      </x:c>
      <x:c r="E1674" t="str">
        <x:v>NSW</x:v>
      </x:c>
      <x:c r="F1674" s="11" t="n">
        <x:v>382711.33</x:v>
      </x:c>
      <x:c r="G1674" s="13" t="n">
        <x:v>78739</x:v>
      </x:c>
      <x:c r="H1674" s="11" t="n">
        <x:v>209454.51</x:v>
      </x:c>
      <x:c r="I1674" s="11" t="n">
        <x:v>340832.36</x:v>
      </x:c>
    </x:row>
    <x:row r="1675">
      <x:c r="A1675" t="n">
        <x:v>2024</x:v>
      </x:c>
      <x:c r="B1675" t="str">
        <x:v>2024-11</x:v>
      </x:c>
      <x:c r="C1675" t="str">
        <x:v>Energy</x:v>
      </x:c>
      <x:c r="D1675" t="str">
        <x:v>Grocery</x:v>
      </x:c>
      <x:c r="E1675" t="str">
        <x:v>QLD</x:v>
      </x:c>
      <x:c r="F1675" s="11" t="n">
        <x:v>373049.66</x:v>
      </x:c>
      <x:c r="G1675" s="13" t="n">
        <x:v>76408</x:v>
      </x:c>
      <x:c r="H1675" s="11" t="n">
        <x:v>201141.39</x:v>
      </x:c>
      <x:c r="I1675" s="11" t="n">
        <x:v>327743.02</x:v>
      </x:c>
    </x:row>
    <x:row r="1676">
      <x:c r="A1676" t="n">
        <x:v>2024</x:v>
      </x:c>
      <x:c r="B1676" t="str">
        <x:v>2024-11</x:v>
      </x:c>
      <x:c r="C1676" t="str">
        <x:v>Energy</x:v>
      </x:c>
      <x:c r="D1676" t="str">
        <x:v>Grocery</x:v>
      </x:c>
      <x:c r="E1676" t="str">
        <x:v>VIC</x:v>
      </x:c>
      <x:c r="F1676" s="11" t="n">
        <x:v>366122.9</x:v>
      </x:c>
      <x:c r="G1676" s="13" t="n">
        <x:v>75693</x:v>
      </x:c>
      <x:c r="H1676" s="11" t="n">
        <x:v>200712.32</x:v>
      </x:c>
      <x:c r="I1676" s="11" t="n">
        <x:v>317857.27</x:v>
      </x:c>
    </x:row>
    <x:row r="1677">
      <x:c r="A1677" t="n">
        <x:v>2024</x:v>
      </x:c>
      <x:c r="B1677" t="str">
        <x:v>2024-11</x:v>
      </x:c>
      <x:c r="C1677" t="str">
        <x:v>Energy</x:v>
      </x:c>
      <x:c r="D1677" t="str">
        <x:v>Hospitality</x:v>
      </x:c>
      <x:c r="E1677" t="str">
        <x:v>NSW</x:v>
      </x:c>
      <x:c r="F1677" s="11" t="n">
        <x:v>48620.62</x:v>
      </x:c>
      <x:c r="G1677" s="13" t="n">
        <x:v>10856</x:v>
      </x:c>
      <x:c r="H1677" s="11" t="n">
        <x:v>24772.91</x:v>
      </x:c>
      <x:c r="I1677" s="11" t="n">
        <x:v>42702.090000000004</x:v>
      </x:c>
    </x:row>
    <x:row r="1678">
      <x:c r="A1678" t="n">
        <x:v>2024</x:v>
      </x:c>
      <x:c r="B1678" t="str">
        <x:v>2024-11</x:v>
      </x:c>
      <x:c r="C1678" t="str">
        <x:v>Energy</x:v>
      </x:c>
      <x:c r="D1678" t="str">
        <x:v>Hospitality</x:v>
      </x:c>
      <x:c r="E1678" t="str">
        <x:v>QLD</x:v>
      </x:c>
      <x:c r="F1678" s="11" t="n">
        <x:v>47010.5</x:v>
      </x:c>
      <x:c r="G1678" s="13" t="n">
        <x:v>10579</x:v>
      </x:c>
      <x:c r="H1678" s="11" t="n">
        <x:v>23270.55</x:v>
      </x:c>
      <x:c r="I1678" s="11" t="n">
        <x:v>41054.04</x:v>
      </x:c>
    </x:row>
    <x:row r="1679">
      <x:c r="A1679" t="n">
        <x:v>2024</x:v>
      </x:c>
      <x:c r="B1679" t="str">
        <x:v>2024-11</x:v>
      </x:c>
      <x:c r="C1679" t="str">
        <x:v>Energy</x:v>
      </x:c>
      <x:c r="D1679" t="str">
        <x:v>Hospitality</x:v>
      </x:c>
      <x:c r="E1679" t="str">
        <x:v>VIC</x:v>
      </x:c>
      <x:c r="F1679" s="11" t="n">
        <x:v>46849.64</x:v>
      </x:c>
      <x:c r="G1679" s="13" t="n">
        <x:v>10332</x:v>
      </x:c>
      <x:c r="H1679" s="11" t="n">
        <x:v>23464.2</x:v>
      </x:c>
      <x:c r="I1679" s="11" t="n">
        <x:v>39832.38</x:v>
      </x:c>
    </x:row>
    <x:row r="1680">
      <x:c r="A1680" t="n">
        <x:v>2024</x:v>
      </x:c>
      <x:c r="B1680" t="str">
        <x:v>2024-11</x:v>
      </x:c>
      <x:c r="C1680" t="str">
        <x:v>Energy</x:v>
      </x:c>
      <x:c r="D1680" t="str">
        <x:v>Independent retail</x:v>
      </x:c>
      <x:c r="E1680" t="str">
        <x:v>NSW</x:v>
      </x:c>
      <x:c r="F1680" s="11" t="n">
        <x:v>135870.6</x:v>
      </x:c>
      <x:c r="G1680" s="13" t="n">
        <x:v>27422</x:v>
      </x:c>
      <x:c r="H1680" s="11" t="n">
        <x:v>74359.78</x:v>
      </x:c>
      <x:c r="I1680" s="11" t="n">
        <x:v>115821.51</x:v>
      </x:c>
    </x:row>
    <x:row r="1681">
      <x:c r="A1681" t="n">
        <x:v>2024</x:v>
      </x:c>
      <x:c r="B1681" t="str">
        <x:v>2024-11</x:v>
      </x:c>
      <x:c r="C1681" t="str">
        <x:v>Energy</x:v>
      </x:c>
      <x:c r="D1681" t="str">
        <x:v>Independent retail</x:v>
      </x:c>
      <x:c r="E1681" t="str">
        <x:v>QLD</x:v>
      </x:c>
      <x:c r="F1681" s="11" t="n">
        <x:v>124849.06</x:v>
      </x:c>
      <x:c r="G1681" s="13" t="n">
        <x:v>25451</x:v>
      </x:c>
      <x:c r="H1681" s="11" t="n">
        <x:v>68847.7</x:v>
      </x:c>
      <x:c r="I1681" s="11" t="n">
        <x:v>111354.99</x:v>
      </x:c>
    </x:row>
    <x:row r="1682">
      <x:c r="A1682" t="n">
        <x:v>2024</x:v>
      </x:c>
      <x:c r="B1682" t="str">
        <x:v>2024-11</x:v>
      </x:c>
      <x:c r="C1682" t="str">
        <x:v>Energy</x:v>
      </x:c>
      <x:c r="D1682" t="str">
        <x:v>Independent retail</x:v>
      </x:c>
      <x:c r="E1682" t="str">
        <x:v>VIC</x:v>
      </x:c>
      <x:c r="F1682" s="11" t="n">
        <x:v>123300.96</x:v>
      </x:c>
      <x:c r="G1682" s="13" t="n">
        <x:v>25350</x:v>
      </x:c>
      <x:c r="H1682" s="11" t="n">
        <x:v>67058.6</x:v>
      </x:c>
      <x:c r="I1682" s="11" t="n">
        <x:v>108009.36</x:v>
      </x:c>
    </x:row>
    <x:row r="1683">
      <x:c r="A1683" t="n">
        <x:v>2024</x:v>
      </x:c>
      <x:c r="B1683" t="str">
        <x:v>2024-11</x:v>
      </x:c>
      <x:c r="C1683" t="str">
        <x:v>Energy</x:v>
      </x:c>
      <x:c r="D1683" t="str">
        <x:v>Petrol</x:v>
      </x:c>
      <x:c r="E1683" t="str">
        <x:v>NSW</x:v>
      </x:c>
      <x:c r="F1683" s="11" t="n">
        <x:v>146534.69</x:v>
      </x:c>
      <x:c r="G1683" s="13" t="n">
        <x:v>26957</x:v>
      </x:c>
      <x:c r="H1683" s="11" t="n">
        <x:v>86295.96</x:v>
      </x:c>
      <x:c r="I1683" s="11" t="n">
        <x:v>124962.66</x:v>
      </x:c>
    </x:row>
    <x:row r="1684">
      <x:c r="A1684" t="n">
        <x:v>2024</x:v>
      </x:c>
      <x:c r="B1684" t="str">
        <x:v>2024-11</x:v>
      </x:c>
      <x:c r="C1684" t="str">
        <x:v>Energy</x:v>
      </x:c>
      <x:c r="D1684" t="str">
        <x:v>Petrol</x:v>
      </x:c>
      <x:c r="E1684" t="str">
        <x:v>QLD</x:v>
      </x:c>
      <x:c r="F1684" s="11" t="n">
        <x:v>137485.71</x:v>
      </x:c>
      <x:c r="G1684" s="13" t="n">
        <x:v>25031</x:v>
      </x:c>
      <x:c r="H1684" s="11" t="n">
        <x:v>81874</x:v>
      </x:c>
      <x:c r="I1684" s="11" t="n">
        <x:v>120132.02</x:v>
      </x:c>
    </x:row>
    <x:row r="1685">
      <x:c r="A1685" t="n">
        <x:v>2024</x:v>
      </x:c>
      <x:c r="B1685" t="str">
        <x:v>2024-11</x:v>
      </x:c>
      <x:c r="C1685" t="str">
        <x:v>Energy</x:v>
      </x:c>
      <x:c r="D1685" t="str">
        <x:v>Petrol</x:v>
      </x:c>
      <x:c r="E1685" t="str">
        <x:v>VIC</x:v>
      </x:c>
      <x:c r="F1685" s="11" t="n">
        <x:v>136951.58</x:v>
      </x:c>
      <x:c r="G1685" s="13" t="n">
        <x:v>25378</x:v>
      </x:c>
      <x:c r="H1685" s="11" t="n">
        <x:v>81329.44</x:v>
      </x:c>
      <x:c r="I1685" s="11" t="n">
        <x:v>116538.52</x:v>
      </x:c>
    </x:row>
    <x:row r="1686">
      <x:c r="A1686" t="n">
        <x:v>2024</x:v>
      </x:c>
      <x:c r="B1686" t="str">
        <x:v>2024-11</x:v>
      </x:c>
      <x:c r="C1686" t="str">
        <x:v>Sparkling</x:v>
      </x:c>
      <x:c r="D1686" t="str">
        <x:v>Convenience</x:v>
      </x:c>
      <x:c r="E1686" t="str">
        <x:v>NSW</x:v>
      </x:c>
      <x:c r="F1686" s="11" t="n">
        <x:v>138209.4</x:v>
      </x:c>
      <x:c r="G1686" s="13" t="n">
        <x:v>34188</x:v>
      </x:c>
      <x:c r="H1686" s="11" t="n">
        <x:v>74125.67</x:v>
      </x:c>
      <x:c r="I1686" s="11" t="n">
        <x:v>139929</x:v>
      </x:c>
    </x:row>
    <x:row r="1687">
      <x:c r="A1687" t="n">
        <x:v>2024</x:v>
      </x:c>
      <x:c r="B1687" t="str">
        <x:v>2024-11</x:v>
      </x:c>
      <x:c r="C1687" t="str">
        <x:v>Sparkling</x:v>
      </x:c>
      <x:c r="D1687" t="str">
        <x:v>Convenience</x:v>
      </x:c>
      <x:c r="E1687" t="str">
        <x:v>QLD</x:v>
      </x:c>
      <x:c r="F1687" s="11" t="n">
        <x:v>131145.33</x:v>
      </x:c>
      <x:c r="G1687" s="13" t="n">
        <x:v>31768</x:v>
      </x:c>
      <x:c r="H1687" s="11" t="n">
        <x:v>71891.95</x:v>
      </x:c>
      <x:c r="I1687" s="11" t="n">
        <x:v>134579.38</x:v>
      </x:c>
    </x:row>
    <x:row r="1688">
      <x:c r="A1688" t="n">
        <x:v>2024</x:v>
      </x:c>
      <x:c r="B1688" t="str">
        <x:v>2024-11</x:v>
      </x:c>
      <x:c r="C1688" t="str">
        <x:v>Sparkling</x:v>
      </x:c>
      <x:c r="D1688" t="str">
        <x:v>Convenience</x:v>
      </x:c>
      <x:c r="E1688" t="str">
        <x:v>VIC</x:v>
      </x:c>
      <x:c r="F1688" s="11" t="n">
        <x:v>128709.64</x:v>
      </x:c>
      <x:c r="G1688" s="13" t="n">
        <x:v>31192</x:v>
      </x:c>
      <x:c r="H1688" s="11" t="n">
        <x:v>69732.08</x:v>
      </x:c>
      <x:c r="I1688" s="11" t="n">
        <x:v>130544.51</x:v>
      </x:c>
    </x:row>
    <x:row r="1689">
      <x:c r="A1689" t="n">
        <x:v>2024</x:v>
      </x:c>
      <x:c r="B1689" t="str">
        <x:v>2024-11</x:v>
      </x:c>
      <x:c r="C1689" t="str">
        <x:v>Sparkling</x:v>
      </x:c>
      <x:c r="D1689" t="str">
        <x:v>Grocery</x:v>
      </x:c>
      <x:c r="E1689" t="str">
        <x:v>NSW</x:v>
      </x:c>
      <x:c r="F1689" s="11" t="n">
        <x:v>345792.96</x:v>
      </x:c>
      <x:c r="G1689" s="13" t="n">
        <x:v>94793</x:v>
      </x:c>
      <x:c r="H1689" s="11" t="n">
        <x:v>165444.88</x:v>
      </x:c>
      <x:c r="I1689" s="11" t="n">
        <x:v>347957.26</x:v>
      </x:c>
    </x:row>
    <x:row r="1690">
      <x:c r="A1690" t="n">
        <x:v>2024</x:v>
      </x:c>
      <x:c r="B1690" t="str">
        <x:v>2024-11</x:v>
      </x:c>
      <x:c r="C1690" t="str">
        <x:v>Sparkling</x:v>
      </x:c>
      <x:c r="D1690" t="str">
        <x:v>Grocery</x:v>
      </x:c>
      <x:c r="E1690" t="str">
        <x:v>QLD</x:v>
      </x:c>
      <x:c r="F1690" s="11" t="n">
        <x:v>339314.62</x:v>
      </x:c>
      <x:c r="G1690" s="13" t="n">
        <x:v>95930</x:v>
      </x:c>
      <x:c r="H1690" s="11" t="n">
        <x:v>157253.85</x:v>
      </x:c>
      <x:c r="I1690" s="11" t="n">
        <x:v>334540.48</x:v>
      </x:c>
    </x:row>
    <x:row r="1691">
      <x:c r="A1691" t="n">
        <x:v>2024</x:v>
      </x:c>
      <x:c r="B1691" t="str">
        <x:v>2024-11</x:v>
      </x:c>
      <x:c r="C1691" t="str">
        <x:v>Sparkling</x:v>
      </x:c>
      <x:c r="D1691" t="str">
        <x:v>Grocery</x:v>
      </x:c>
      <x:c r="E1691" t="str">
        <x:v>VIC</x:v>
      </x:c>
      <x:c r="F1691" s="11" t="n">
        <x:v>314894.36</x:v>
      </x:c>
      <x:c r="G1691" s="13" t="n">
        <x:v>88464</x:v>
      </x:c>
      <x:c r="H1691" s="11" t="n">
        <x:v>147689.91</x:v>
      </x:c>
      <x:c r="I1691" s="11" t="n">
        <x:v>324571.31</x:v>
      </x:c>
    </x:row>
    <x:row r="1692">
      <x:c r="A1692" t="n">
        <x:v>2024</x:v>
      </x:c>
      <x:c r="B1692" t="str">
        <x:v>2024-11</x:v>
      </x:c>
      <x:c r="C1692" t="str">
        <x:v>Sparkling</x:v>
      </x:c>
      <x:c r="D1692" t="str">
        <x:v>Hospitality</x:v>
      </x:c>
      <x:c r="E1692" t="str">
        <x:v>NSW</x:v>
      </x:c>
      <x:c r="F1692" s="11" t="n">
        <x:v>43420.46</x:v>
      </x:c>
      <x:c r="G1692" s="13" t="n">
        <x:v>13243</x:v>
      </x:c>
      <x:c r="H1692" s="11" t="n">
        <x:v>18257.17</x:v>
      </x:c>
      <x:c r="I1692" s="11" t="n">
        <x:v>43521.6</x:v>
      </x:c>
    </x:row>
    <x:row r="1693">
      <x:c r="A1693" t="n">
        <x:v>2024</x:v>
      </x:c>
      <x:c r="B1693" t="str">
        <x:v>2024-11</x:v>
      </x:c>
      <x:c r="C1693" t="str">
        <x:v>Sparkling</x:v>
      </x:c>
      <x:c r="D1693" t="str">
        <x:v>Hospitality</x:v>
      </x:c>
      <x:c r="E1693" t="str">
        <x:v>QLD</x:v>
      </x:c>
      <x:c r="F1693" s="11" t="n">
        <x:v>42054.75</x:v>
      </x:c>
      <x:c r="G1693" s="13" t="n">
        <x:v>13035</x:v>
      </x:c>
      <x:c r="H1693" s="11" t="n">
        <x:v>17540.41</x:v>
      </x:c>
      <x:c r="I1693" s="11" t="n">
        <x:v>41856.85</x:v>
      </x:c>
    </x:row>
    <x:row r="1694">
      <x:c r="A1694" t="n">
        <x:v>2024</x:v>
      </x:c>
      <x:c r="B1694" t="str">
        <x:v>2024-11</x:v>
      </x:c>
      <x:c r="C1694" t="str">
        <x:v>Sparkling</x:v>
      </x:c>
      <x:c r="D1694" t="str">
        <x:v>Hospitality</x:v>
      </x:c>
      <x:c r="E1694" t="str">
        <x:v>VIC</x:v>
      </x:c>
      <x:c r="F1694" s="11" t="n">
        <x:v>40044.34</x:v>
      </x:c>
      <x:c r="G1694" s="13" t="n">
        <x:v>12433</x:v>
      </x:c>
      <x:c r="H1694" s="11" t="n">
        <x:v>16672.74</x:v>
      </x:c>
      <x:c r="I1694" s="11" t="n">
        <x:v>40599.67</x:v>
      </x:c>
    </x:row>
    <x:row r="1695">
      <x:c r="A1695" t="n">
        <x:v>2024</x:v>
      </x:c>
      <x:c r="B1695" t="str">
        <x:v>2024-11</x:v>
      </x:c>
      <x:c r="C1695" t="str">
        <x:v>Sparkling</x:v>
      </x:c>
      <x:c r="D1695" t="str">
        <x:v>Independent retail</x:v>
      </x:c>
      <x:c r="E1695" t="str">
        <x:v>NSW</x:v>
      </x:c>
      <x:c r="F1695" s="11" t="n">
        <x:v>115089.06</x:v>
      </x:c>
      <x:c r="G1695" s="13" t="n">
        <x:v>31829</x:v>
      </x:c>
      <x:c r="H1695" s="11" t="n">
        <x:v>55473.53</x:v>
      </x:c>
      <x:c r="I1695" s="11" t="n">
        <x:v>118373.92</x:v>
      </x:c>
    </x:row>
    <x:row r="1696">
      <x:c r="A1696" t="n">
        <x:v>2024</x:v>
      </x:c>
      <x:c r="B1696" t="str">
        <x:v>2024-11</x:v>
      </x:c>
      <x:c r="C1696" t="str">
        <x:v>Sparkling</x:v>
      </x:c>
      <x:c r="D1696" t="str">
        <x:v>Independent retail</x:v>
      </x:c>
      <x:c r="E1696" t="str">
        <x:v>QLD</x:v>
      </x:c>
      <x:c r="F1696" s="11" t="n">
        <x:v>114138.09</x:v>
      </x:c>
      <x:c r="G1696" s="13" t="n">
        <x:v>30598</x:v>
      </x:c>
      <x:c r="H1696" s="11" t="n">
        <x:v>56355.22</x:v>
      </x:c>
      <x:c r="I1696" s="11" t="n">
        <x:v>113855.04</x:v>
      </x:c>
    </x:row>
    <x:row r="1697">
      <x:c r="A1697" t="n">
        <x:v>2024</x:v>
      </x:c>
      <x:c r="B1697" t="str">
        <x:v>2024-11</x:v>
      </x:c>
      <x:c r="C1697" t="str">
        <x:v>Sparkling</x:v>
      </x:c>
      <x:c r="D1697" t="str">
        <x:v>Independent retail</x:v>
      </x:c>
      <x:c r="E1697" t="str">
        <x:v>VIC</x:v>
      </x:c>
      <x:c r="F1697" s="11" t="n">
        <x:v>111111.7</x:v>
      </x:c>
      <x:c r="G1697" s="13" t="n">
        <x:v>29890</x:v>
      </x:c>
      <x:c r="H1697" s="11" t="n">
        <x:v>54682.49</x:v>
      </x:c>
      <x:c r="I1697" s="11" t="n">
        <x:v>110435.66</x:v>
      </x:c>
    </x:row>
    <x:row r="1698">
      <x:c r="A1698" t="n">
        <x:v>2024</x:v>
      </x:c>
      <x:c r="B1698" t="str">
        <x:v>2024-11</x:v>
      </x:c>
      <x:c r="C1698" t="str">
        <x:v>Sparkling</x:v>
      </x:c>
      <x:c r="D1698" t="str">
        <x:v>Petrol</x:v>
      </x:c>
      <x:c r="E1698" t="str">
        <x:v>NSW</x:v>
      </x:c>
      <x:c r="F1698" s="11" t="n">
        <x:v>125965.69</x:v>
      </x:c>
      <x:c r="G1698" s="13" t="n">
        <x:v>31343</x:v>
      </x:c>
      <x:c r="H1698" s="11" t="n">
        <x:v>67271.34</x:v>
      </x:c>
      <x:c r="I1698" s="11" t="n">
        <x:v>127621.16</x:v>
      </x:c>
    </x:row>
    <x:row r="1699">
      <x:c r="A1699" t="n">
        <x:v>2024</x:v>
      </x:c>
      <x:c r="B1699" t="str">
        <x:v>2024-11</x:v>
      </x:c>
      <x:c r="C1699" t="str">
        <x:v>Sparkling</x:v>
      </x:c>
      <x:c r="D1699" t="str">
        <x:v>Petrol</x:v>
      </x:c>
      <x:c r="E1699" t="str">
        <x:v>QLD</x:v>
      </x:c>
      <x:c r="F1699" s="11" t="n">
        <x:v>123651.29</x:v>
      </x:c>
      <x:c r="G1699" s="13" t="n">
        <x:v>30258</x:v>
      </x:c>
      <x:c r="H1699" s="11" t="n">
        <x:v>66013.86</x:v>
      </x:c>
      <x:c r="I1699" s="11" t="n">
        <x:v>122689.44</x:v>
      </x:c>
    </x:row>
    <x:row r="1700">
      <x:c r="A1700" t="n">
        <x:v>2024</x:v>
      </x:c>
      <x:c r="B1700" t="str">
        <x:v>2024-11</x:v>
      </x:c>
      <x:c r="C1700" t="str">
        <x:v>Sparkling</x:v>
      </x:c>
      <x:c r="D1700" t="str">
        <x:v>Petrol</x:v>
      </x:c>
      <x:c r="E1700" t="str">
        <x:v>VIC</x:v>
      </x:c>
      <x:c r="F1700" s="11" t="n">
        <x:v>116365.91</x:v>
      </x:c>
      <x:c r="G1700" s="13" t="n">
        <x:v>28650</x:v>
      </x:c>
      <x:c r="H1700" s="11" t="n">
        <x:v>62465.75</x:v>
      </x:c>
      <x:c r="I1700" s="11" t="n">
        <x:v>119015.73</x:v>
      </x:c>
    </x:row>
    <x:row r="1701">
      <x:c r="A1701" t="n">
        <x:v>2024</x:v>
      </x:c>
      <x:c r="B1701" t="str">
        <x:v>2024-11</x:v>
      </x:c>
      <x:c r="C1701" t="str">
        <x:v>Sports</x:v>
      </x:c>
      <x:c r="D1701" t="str">
        <x:v>Convenience</x:v>
      </x:c>
      <x:c r="E1701" t="str">
        <x:v>NSW</x:v>
      </x:c>
      <x:c r="F1701" s="11" t="n">
        <x:v>82727.77</x:v>
      </x:c>
      <x:c r="G1701" s="13" t="n">
        <x:v>16883</x:v>
      </x:c>
      <x:c r="H1701" s="11" t="n">
        <x:v>42328.36</x:v>
      </x:c>
      <x:c r="I1701" s="11" t="n">
        <x:v>77262.78</x:v>
      </x:c>
    </x:row>
    <x:row r="1702">
      <x:c r="A1702" t="n">
        <x:v>2024</x:v>
      </x:c>
      <x:c r="B1702" t="str">
        <x:v>2024-11</x:v>
      </x:c>
      <x:c r="C1702" t="str">
        <x:v>Sports</x:v>
      </x:c>
      <x:c r="D1702" t="str">
        <x:v>Convenience</x:v>
      </x:c>
      <x:c r="E1702" t="str">
        <x:v>QLD</x:v>
      </x:c>
      <x:c r="F1702" s="11" t="n">
        <x:v>76841.82</x:v>
      </x:c>
      <x:c r="G1702" s="13" t="n">
        <x:v>15051</x:v>
      </x:c>
      <x:c r="H1702" s="11" t="n">
        <x:v>40571.83</x:v>
      </x:c>
      <x:c r="I1702" s="11" t="n">
        <x:v>74289.22</x:v>
      </x:c>
    </x:row>
    <x:row r="1703">
      <x:c r="A1703" t="n">
        <x:v>2024</x:v>
      </x:c>
      <x:c r="B1703" t="str">
        <x:v>2024-11</x:v>
      </x:c>
      <x:c r="C1703" t="str">
        <x:v>Sports</x:v>
      </x:c>
      <x:c r="D1703" t="str">
        <x:v>Convenience</x:v>
      </x:c>
      <x:c r="E1703" t="str">
        <x:v>VIC</x:v>
      </x:c>
      <x:c r="F1703" s="11" t="n">
        <x:v>74427.3</x:v>
      </x:c>
      <x:c r="G1703" s="13" t="n">
        <x:v>15046</x:v>
      </x:c>
      <x:c r="H1703" s="11" t="n">
        <x:v>38326.81</x:v>
      </x:c>
      <x:c r="I1703" s="11" t="n">
        <x:v>72042.38</x:v>
      </x:c>
    </x:row>
    <x:row r="1704">
      <x:c r="A1704" t="n">
        <x:v>2024</x:v>
      </x:c>
      <x:c r="B1704" t="str">
        <x:v>2024-11</x:v>
      </x:c>
      <x:c r="C1704" t="str">
        <x:v>Sports</x:v>
      </x:c>
      <x:c r="D1704" t="str">
        <x:v>Grocery</x:v>
      </x:c>
      <x:c r="E1704" t="str">
        <x:v>NSW</x:v>
      </x:c>
      <x:c r="F1704" s="11" t="n">
        <x:v>197679.31</x:v>
      </x:c>
      <x:c r="G1704" s="13" t="n">
        <x:v>43723</x:v>
      </x:c>
      <x:c r="H1704" s="11" t="n">
        <x:v>91690.48</x:v>
      </x:c>
      <x:c r="I1704" s="11" t="n">
        <x:v>191809.22</x:v>
      </x:c>
    </x:row>
    <x:row r="1705">
      <x:c r="A1705" t="n">
        <x:v>2024</x:v>
      </x:c>
      <x:c r="B1705" t="str">
        <x:v>2024-11</x:v>
      </x:c>
      <x:c r="C1705" t="str">
        <x:v>Sports</x:v>
      </x:c>
      <x:c r="D1705" t="str">
        <x:v>Grocery</x:v>
      </x:c>
      <x:c r="E1705" t="str">
        <x:v>QLD</x:v>
      </x:c>
      <x:c r="F1705" s="11" t="n">
        <x:v>189620.52</x:v>
      </x:c>
      <x:c r="G1705" s="13" t="n">
        <x:v>44083</x:v>
      </x:c>
      <x:c r="H1705" s="11" t="n">
        <x:v>82818.45</x:v>
      </x:c>
      <x:c r="I1705" s="11" t="n">
        <x:v>184413.81</x:v>
      </x:c>
    </x:row>
    <x:row r="1706">
      <x:c r="A1706" t="n">
        <x:v>2024</x:v>
      </x:c>
      <x:c r="B1706" t="str">
        <x:v>2024-11</x:v>
      </x:c>
      <x:c r="C1706" t="str">
        <x:v>Sports</x:v>
      </x:c>
      <x:c r="D1706" t="str">
        <x:v>Grocery</x:v>
      </x:c>
      <x:c r="E1706" t="str">
        <x:v>VIC</x:v>
      </x:c>
      <x:c r="F1706" s="11" t="n">
        <x:v>191680.16</x:v>
      </x:c>
      <x:c r="G1706" s="13" t="n">
        <x:v>43219</x:v>
      </x:c>
      <x:c r="H1706" s="11" t="n">
        <x:v>85894.82</x:v>
      </x:c>
      <x:c r="I1706" s="11" t="n">
        <x:v>178885.53</x:v>
      </x:c>
    </x:row>
    <x:row r="1707">
      <x:c r="A1707" t="n">
        <x:v>2024</x:v>
      </x:c>
      <x:c r="B1707" t="str">
        <x:v>2024-11</x:v>
      </x:c>
      <x:c r="C1707" t="str">
        <x:v>Sports</x:v>
      </x:c>
      <x:c r="D1707" t="str">
        <x:v>Hospitality</x:v>
      </x:c>
      <x:c r="E1707" t="str">
        <x:v>NSW</x:v>
      </x:c>
      <x:c r="F1707" s="11" t="n">
        <x:v>25404.34</x:v>
      </x:c>
      <x:c r="G1707" s="13" t="n">
        <x:v>6208</x:v>
      </x:c>
      <x:c r="H1707" s="11" t="n">
        <x:v>10175.31</x:v>
      </x:c>
      <x:c r="I1707" s="11" t="n">
        <x:v>24003.98</x:v>
      </x:c>
    </x:row>
    <x:row r="1708">
      <x:c r="A1708" t="n">
        <x:v>2024</x:v>
      </x:c>
      <x:c r="B1708" t="str">
        <x:v>2024-11</x:v>
      </x:c>
      <x:c r="C1708" t="str">
        <x:v>Sports</x:v>
      </x:c>
      <x:c r="D1708" t="str">
        <x:v>Hospitality</x:v>
      </x:c>
      <x:c r="E1708" t="str">
        <x:v>QLD</x:v>
      </x:c>
      <x:c r="F1708" s="11" t="n">
        <x:v>24531.26</x:v>
      </x:c>
      <x:c r="G1708" s="13" t="n">
        <x:v>6314</x:v>
      </x:c>
      <x:c r="H1708" s="11" t="n">
        <x:v>9426.39</x:v>
      </x:c>
      <x:c r="I1708" s="11" t="n">
        <x:v>23085.649999999998</x:v>
      </x:c>
    </x:row>
    <x:row r="1709">
      <x:c r="A1709" t="n">
        <x:v>2024</x:v>
      </x:c>
      <x:c r="B1709" t="str">
        <x:v>2024-11</x:v>
      </x:c>
      <x:c r="C1709" t="str">
        <x:v>Sports</x:v>
      </x:c>
      <x:c r="D1709" t="str">
        <x:v>Hospitality</x:v>
      </x:c>
      <x:c r="E1709" t="str">
        <x:v>VIC</x:v>
      </x:c>
      <x:c r="F1709" s="11" t="n">
        <x:v>24285.49</x:v>
      </x:c>
      <x:c r="G1709" s="13" t="n">
        <x:v>6080</x:v>
      </x:c>
      <x:c r="H1709" s="11" t="n">
        <x:v>9450.21</x:v>
      </x:c>
      <x:c r="I1709" s="11" t="n">
        <x:v>22396.09</x:v>
      </x:c>
    </x:row>
    <x:row r="1710">
      <x:c r="A1710" t="n">
        <x:v>2024</x:v>
      </x:c>
      <x:c r="B1710" t="str">
        <x:v>2024-11</x:v>
      </x:c>
      <x:c r="C1710" t="str">
        <x:v>Sports</x:v>
      </x:c>
      <x:c r="D1710" t="str">
        <x:v>Independent retail</x:v>
      </x:c>
      <x:c r="E1710" t="str">
        <x:v>NSW</x:v>
      </x:c>
      <x:c r="F1710" s="11" t="n">
        <x:v>69785.36</x:v>
      </x:c>
      <x:c r="G1710" s="13" t="n">
        <x:v>15849</x:v>
      </x:c>
      <x:c r="H1710" s="11" t="n">
        <x:v>31861.11</x:v>
      </x:c>
      <x:c r="I1710" s="11" t="n">
        <x:v>65178.03</x:v>
      </x:c>
    </x:row>
    <x:row r="1711">
      <x:c r="A1711" t="n">
        <x:v>2024</x:v>
      </x:c>
      <x:c r="B1711" t="str">
        <x:v>2024-11</x:v>
      </x:c>
      <x:c r="C1711" t="str">
        <x:v>Sports</x:v>
      </x:c>
      <x:c r="D1711" t="str">
        <x:v>Independent retail</x:v>
      </x:c>
      <x:c r="E1711" t="str">
        <x:v>QLD</x:v>
      </x:c>
      <x:c r="F1711" s="11" t="n">
        <x:v>67276.58</x:v>
      </x:c>
      <x:c r="G1711" s="13" t="n">
        <x:v>14570</x:v>
      </x:c>
      <x:c r="H1711" s="11" t="n">
        <x:v>32291.4</x:v>
      </x:c>
      <x:c r="I1711" s="11" t="n">
        <x:v>62686.37</x:v>
      </x:c>
    </x:row>
    <x:row r="1712">
      <x:c r="A1712" t="n">
        <x:v>2024</x:v>
      </x:c>
      <x:c r="B1712" t="str">
        <x:v>2024-11</x:v>
      </x:c>
      <x:c r="C1712" t="str">
        <x:v>Sports</x:v>
      </x:c>
      <x:c r="D1712" t="str">
        <x:v>Independent retail</x:v>
      </x:c>
      <x:c r="E1712" t="str">
        <x:v>VIC</x:v>
      </x:c>
      <x:c r="F1712" s="11" t="n">
        <x:v>63435.05</x:v>
      </x:c>
      <x:c r="G1712" s="13" t="n">
        <x:v>14286</x:v>
      </x:c>
      <x:c r="H1712" s="11" t="n">
        <x:v>29628.06</x:v>
      </x:c>
      <x:c r="I1712" s="11" t="n">
        <x:v>60798.77</x:v>
      </x:c>
    </x:row>
    <x:row r="1713">
      <x:c r="A1713" t="n">
        <x:v>2024</x:v>
      </x:c>
      <x:c r="B1713" t="str">
        <x:v>2024-11</x:v>
      </x:c>
      <x:c r="C1713" t="str">
        <x:v>Sports</x:v>
      </x:c>
      <x:c r="D1713" t="str">
        <x:v>Petrol</x:v>
      </x:c>
      <x:c r="E1713" t="str">
        <x:v>NSW</x:v>
      </x:c>
      <x:c r="F1713" s="11" t="n">
        <x:v>74775.86</x:v>
      </x:c>
      <x:c r="G1713" s="13" t="n">
        <x:v>14915</x:v>
      </x:c>
      <x:c r="H1713" s="11" t="n">
        <x:v>39026.47</x:v>
      </x:c>
      <x:c r="I1713" s="11" t="n">
        <x:v>70692.26</x:v>
      </x:c>
    </x:row>
    <x:row r="1714">
      <x:c r="A1714" t="n">
        <x:v>2024</x:v>
      </x:c>
      <x:c r="B1714" t="str">
        <x:v>2024-11</x:v>
      </x:c>
      <x:c r="C1714" t="str">
        <x:v>Sports</x:v>
      </x:c>
      <x:c r="D1714" t="str">
        <x:v>Petrol</x:v>
      </x:c>
      <x:c r="E1714" t="str">
        <x:v>QLD</x:v>
      </x:c>
      <x:c r="F1714" s="11" t="n">
        <x:v>70537.42</x:v>
      </x:c>
      <x:c r="G1714" s="13" t="n">
        <x:v>13990</x:v>
      </x:c>
      <x:c r="H1714" s="11" t="n">
        <x:v>36732.46</x:v>
      </x:c>
      <x:c r="I1714" s="11" t="n">
        <x:v>67967.08</x:v>
      </x:c>
    </x:row>
    <x:row r="1715">
      <x:c r="A1715" t="n">
        <x:v>2024</x:v>
      </x:c>
      <x:c r="B1715" t="str">
        <x:v>2024-11</x:v>
      </x:c>
      <x:c r="C1715" t="str">
        <x:v>Sports</x:v>
      </x:c>
      <x:c r="D1715" t="str">
        <x:v>Petrol</x:v>
      </x:c>
      <x:c r="E1715" t="str">
        <x:v>VIC</x:v>
      </x:c>
      <x:c r="F1715" s="11" t="n">
        <x:v>69059</x:v>
      </x:c>
      <x:c r="G1715" s="13" t="n">
        <x:v>13645</x:v>
      </x:c>
      <x:c r="H1715" s="11" t="n">
        <x:v>36333.42</x:v>
      </x:c>
      <x:c r="I1715" s="11" t="n">
        <x:v>65927.99</x:v>
      </x:c>
    </x:row>
    <x:row r="1716">
      <x:c r="A1716" t="n">
        <x:v>2024</x:v>
      </x:c>
      <x:c r="B1716" t="str">
        <x:v>2024-11</x:v>
      </x:c>
      <x:c r="C1716" t="str">
        <x:v>Water</x:v>
      </x:c>
      <x:c r="D1716" t="str">
        <x:v>Convenience</x:v>
      </x:c>
      <x:c r="E1716" t="str">
        <x:v>NSW</x:v>
      </x:c>
      <x:c r="F1716" s="11" t="n">
        <x:v>93178.07</x:v>
      </x:c>
      <x:c r="G1716" s="13" t="n">
        <x:v>28153</x:v>
      </x:c>
      <x:c r="H1716" s="11" t="n">
        <x:v>46468.93</x:v>
      </x:c>
      <x:c r="I1716" s="11" t="n">
        <x:v>92063.59</x:v>
      </x:c>
    </x:row>
    <x:row r="1717">
      <x:c r="A1717" t="n">
        <x:v>2024</x:v>
      </x:c>
      <x:c r="B1717" t="str">
        <x:v>2024-11</x:v>
      </x:c>
      <x:c r="C1717" t="str">
        <x:v>Water</x:v>
      </x:c>
      <x:c r="D1717" t="str">
        <x:v>Convenience</x:v>
      </x:c>
      <x:c r="E1717" t="str">
        <x:v>QLD</x:v>
      </x:c>
      <x:c r="F1717" s="11" t="n">
        <x:v>89734.33</x:v>
      </x:c>
      <x:c r="G1717" s="13" t="n">
        <x:v>27552</x:v>
      </x:c>
      <x:c r="H1717" s="11" t="n">
        <x:v>43281.76</x:v>
      </x:c>
      <x:c r="I1717" s="11" t="n">
        <x:v>88519.99</x:v>
      </x:c>
    </x:row>
    <x:row r="1718">
      <x:c r="A1718" t="n">
        <x:v>2024</x:v>
      </x:c>
      <x:c r="B1718" t="str">
        <x:v>2024-11</x:v>
      </x:c>
      <x:c r="C1718" t="str">
        <x:v>Water</x:v>
      </x:c>
      <x:c r="D1718" t="str">
        <x:v>Convenience</x:v>
      </x:c>
      <x:c r="E1718" t="str">
        <x:v>VIC</x:v>
      </x:c>
      <x:c r="F1718" s="11" t="n">
        <x:v>86391.41</x:v>
      </x:c>
      <x:c r="G1718" s="13" t="n">
        <x:v>26038</x:v>
      </x:c>
      <x:c r="H1718" s="11" t="n">
        <x:v>42769.78</x:v>
      </x:c>
      <x:c r="I1718" s="11" t="n">
        <x:v>85870.39</x:v>
      </x:c>
    </x:row>
    <x:row r="1719">
      <x:c r="A1719" t="n">
        <x:v>2024</x:v>
      </x:c>
      <x:c r="B1719" t="str">
        <x:v>2024-11</x:v>
      </x:c>
      <x:c r="C1719" t="str">
        <x:v>Water</x:v>
      </x:c>
      <x:c r="D1719" t="str">
        <x:v>Grocery</x:v>
      </x:c>
      <x:c r="E1719" t="str">
        <x:v>NSW</x:v>
      </x:c>
      <x:c r="F1719" s="11" t="n">
        <x:v>224573.88</x:v>
      </x:c>
      <x:c r="G1719" s="13" t="n">
        <x:v>83186</x:v>
      </x:c>
      <x:c r="H1719" s="11" t="n">
        <x:v>87317.39</x:v>
      </x:c>
      <x:c r="I1719" s="11" t="n">
        <x:v>229470.66</x:v>
      </x:c>
    </x:row>
    <x:row r="1720">
      <x:c r="A1720" t="n">
        <x:v>2024</x:v>
      </x:c>
      <x:c r="B1720" t="str">
        <x:v>2024-11</x:v>
      </x:c>
      <x:c r="C1720" t="str">
        <x:v>Water</x:v>
      </x:c>
      <x:c r="D1720" t="str">
        <x:v>Grocery</x:v>
      </x:c>
      <x:c r="E1720" t="str">
        <x:v>QLD</x:v>
      </x:c>
      <x:c r="F1720" s="11" t="n">
        <x:v>216958.55</x:v>
      </x:c>
      <x:c r="G1720" s="13" t="n">
        <x:v>77530</x:v>
      </x:c>
      <x:c r="H1720" s="11" t="n">
        <x:v>89262.65</x:v>
      </x:c>
      <x:c r="I1720" s="11" t="n">
        <x:v>220639.71</x:v>
      </x:c>
    </x:row>
    <x:row r="1721">
      <x:c r="A1721" t="n">
        <x:v>2024</x:v>
      </x:c>
      <x:c r="B1721" t="str">
        <x:v>2024-11</x:v>
      </x:c>
      <x:c r="C1721" t="str">
        <x:v>Water</x:v>
      </x:c>
      <x:c r="D1721" t="str">
        <x:v>Grocery</x:v>
      </x:c>
      <x:c r="E1721" t="str">
        <x:v>VIC</x:v>
      </x:c>
      <x:c r="F1721" s="11" t="n">
        <x:v>214529</x:v>
      </x:c>
      <x:c r="G1721" s="13" t="n">
        <x:v>78878</x:v>
      </x:c>
      <x:c r="H1721" s="11" t="n">
        <x:v>85505.47</x:v>
      </x:c>
      <x:c r="I1721" s="11" t="n">
        <x:v>214000.83</x:v>
      </x:c>
    </x:row>
    <x:row r="1722">
      <x:c r="A1722" t="n">
        <x:v>2024</x:v>
      </x:c>
      <x:c r="B1722" t="str">
        <x:v>2024-11</x:v>
      </x:c>
      <x:c r="C1722" t="str">
        <x:v>Water</x:v>
      </x:c>
      <x:c r="D1722" t="str">
        <x:v>Hospitality</x:v>
      </x:c>
      <x:c r="E1722" t="str">
        <x:v>NSW</x:v>
      </x:c>
      <x:c r="F1722" s="11" t="n">
        <x:v>28605.7</x:v>
      </x:c>
      <x:c r="G1722" s="13" t="n">
        <x:v>11526</x:v>
      </x:c>
      <x:c r="H1722" s="11" t="n">
        <x:v>9881.93</x:v>
      </x:c>
      <x:c r="I1722" s="11" t="n">
        <x:v>28736.49</x:v>
      </x:c>
    </x:row>
    <x:row r="1723">
      <x:c r="A1723" t="n">
        <x:v>2024</x:v>
      </x:c>
      <x:c r="B1723" t="str">
        <x:v>2024-11</x:v>
      </x:c>
      <x:c r="C1723" t="str">
        <x:v>Water</x:v>
      </x:c>
      <x:c r="D1723" t="str">
        <x:v>Hospitality</x:v>
      </x:c>
      <x:c r="E1723" t="str">
        <x:v>QLD</x:v>
      </x:c>
      <x:c r="F1723" s="11" t="n">
        <x:v>28208.54</x:v>
      </x:c>
      <x:c r="G1723" s="13" t="n">
        <x:v>10670</x:v>
      </x:c>
      <x:c r="H1723" s="11" t="n">
        <x:v>10411.51</x:v>
      </x:c>
      <x:c r="I1723" s="11" t="n">
        <x:v>27624.24</x:v>
      </x:c>
    </x:row>
    <x:row r="1724">
      <x:c r="A1724" t="n">
        <x:v>2024</x:v>
      </x:c>
      <x:c r="B1724" t="str">
        <x:v>2024-11</x:v>
      </x:c>
      <x:c r="C1724" t="str">
        <x:v>Water</x:v>
      </x:c>
      <x:c r="D1724" t="str">
        <x:v>Hospitality</x:v>
      </x:c>
      <x:c r="E1724" t="str">
        <x:v>VIC</x:v>
      </x:c>
      <x:c r="F1724" s="11" t="n">
        <x:v>26040.84</x:v>
      </x:c>
      <x:c r="G1724" s="13" t="n">
        <x:v>10144</x:v>
      </x:c>
      <x:c r="H1724" s="11" t="n">
        <x:v>9402.89</x:v>
      </x:c>
      <x:c r="I1724" s="11" t="n">
        <x:v>26799.18</x:v>
      </x:c>
    </x:row>
    <x:row r="1725">
      <x:c r="A1725" t="n">
        <x:v>2024</x:v>
      </x:c>
      <x:c r="B1725" t="str">
        <x:v>2024-11</x:v>
      </x:c>
      <x:c r="C1725" t="str">
        <x:v>Water</x:v>
      </x:c>
      <x:c r="D1725" t="str">
        <x:v>Independent retail</x:v>
      </x:c>
      <x:c r="E1725" t="str">
        <x:v>NSW</x:v>
      </x:c>
      <x:c r="F1725" s="11" t="n">
        <x:v>76794.48</x:v>
      </x:c>
      <x:c r="G1725" s="13" t="n">
        <x:v>26112</x:v>
      </x:c>
      <x:c r="H1725" s="11" t="n">
        <x:v>33099.7</x:v>
      </x:c>
      <x:c r="I1725" s="11" t="n">
        <x:v>78105.86</x:v>
      </x:c>
    </x:row>
    <x:row r="1726">
      <x:c r="A1726" t="n">
        <x:v>2024</x:v>
      </x:c>
      <x:c r="B1726" t="str">
        <x:v>2024-11</x:v>
      </x:c>
      <x:c r="C1726" t="str">
        <x:v>Water</x:v>
      </x:c>
      <x:c r="D1726" t="str">
        <x:v>Independent retail</x:v>
      </x:c>
      <x:c r="E1726" t="str">
        <x:v>QLD</x:v>
      </x:c>
      <x:c r="F1726" s="11" t="n">
        <x:v>76242.93</x:v>
      </x:c>
      <x:c r="G1726" s="13" t="n">
        <x:v>26991</x:v>
      </x:c>
      <x:c r="H1726" s="11" t="n">
        <x:v>31050.59</x:v>
      </x:c>
      <x:c r="I1726" s="11" t="n">
        <x:v>75102.8</x:v>
      </x:c>
    </x:row>
    <x:row r="1727">
      <x:c r="A1727" t="n">
        <x:v>2024</x:v>
      </x:c>
      <x:c r="B1727" t="str">
        <x:v>2024-11</x:v>
      </x:c>
      <x:c r="C1727" t="str">
        <x:v>Water</x:v>
      </x:c>
      <x:c r="D1727" t="str">
        <x:v>Independent retail</x:v>
      </x:c>
      <x:c r="E1727" t="str">
        <x:v>VIC</x:v>
      </x:c>
      <x:c r="F1727" s="11" t="n">
        <x:v>73609.35</x:v>
      </x:c>
      <x:c r="G1727" s="13" t="n">
        <x:v>25795</x:v>
      </x:c>
      <x:c r="H1727" s="11" t="n">
        <x:v>30637.56</x:v>
      </x:c>
      <x:c r="I1727" s="11" t="n">
        <x:v>72841.31</x:v>
      </x:c>
    </x:row>
    <x:row r="1728">
      <x:c r="A1728" t="n">
        <x:v>2024</x:v>
      </x:c>
      <x:c r="B1728" t="str">
        <x:v>2024-11</x:v>
      </x:c>
      <x:c r="C1728" t="str">
        <x:v>Water</x:v>
      </x:c>
      <x:c r="D1728" t="str">
        <x:v>Petrol</x:v>
      </x:c>
      <x:c r="E1728" t="str">
        <x:v>NSW</x:v>
      </x:c>
      <x:c r="F1728" s="11" t="n">
        <x:v>86331.87</x:v>
      </x:c>
      <x:c r="G1728" s="13" t="n">
        <x:v>27925</x:v>
      </x:c>
      <x:c r="H1728" s="11" t="n">
        <x:v>39353.01</x:v>
      </x:c>
      <x:c r="I1728" s="11" t="n">
        <x:v>84004.45</x:v>
      </x:c>
    </x:row>
    <x:row r="1729">
      <x:c r="A1729" t="n">
        <x:v>2024</x:v>
      </x:c>
      <x:c r="B1729" t="str">
        <x:v>2024-11</x:v>
      </x:c>
      <x:c r="C1729" t="str">
        <x:v>Water</x:v>
      </x:c>
      <x:c r="D1729" t="str">
        <x:v>Petrol</x:v>
      </x:c>
      <x:c r="E1729" t="str">
        <x:v>QLD</x:v>
      </x:c>
      <x:c r="F1729" s="11" t="n">
        <x:v>80941.3</x:v>
      </x:c>
      <x:c r="G1729" s="13" t="n">
        <x:v>26865</x:v>
      </x:c>
      <x:c r="H1729" s="11" t="n">
        <x:v>36738.46</x:v>
      </x:c>
      <x:c r="I1729" s="11" t="n">
        <x:v>80786.87</x:v>
      </x:c>
    </x:row>
    <x:row r="1730">
      <x:c r="A1730" t="n">
        <x:v>2024</x:v>
      </x:c>
      <x:c r="B1730" t="str">
        <x:v>2024-11</x:v>
      </x:c>
      <x:c r="C1730" t="str">
        <x:v>Water</x:v>
      </x:c>
      <x:c r="D1730" t="str">
        <x:v>Petrol</x:v>
      </x:c>
      <x:c r="E1730" t="str">
        <x:v>VIC</x:v>
      </x:c>
      <x:c r="F1730" s="11" t="n">
        <x:v>77302.89</x:v>
      </x:c>
      <x:c r="G1730" s="13" t="n">
        <x:v>25807</x:v>
      </x:c>
      <x:c r="H1730" s="11" t="n">
        <x:v>34688.66</x:v>
      </x:c>
      <x:c r="I1730" s="11" t="n">
        <x:v>78349.75</x:v>
      </x:c>
    </x:row>
    <x:row r="1731">
      <x:c r="A1731" t="n">
        <x:v>2024</x:v>
      </x:c>
      <x:c r="B1731" t="str">
        <x:v>2024-12</x:v>
      </x:c>
      <x:c r="C1731" t="str">
        <x:v>Coffee</x:v>
      </x:c>
      <x:c r="D1731" t="str">
        <x:v>Convenience</x:v>
      </x:c>
      <x:c r="E1731" t="str">
        <x:v>NSW</x:v>
      </x:c>
      <x:c r="F1731" s="11" t="n">
        <x:v>45263.86</x:v>
      </x:c>
      <x:c r="G1731" s="13" t="n">
        <x:v>6549</x:v>
      </x:c>
      <x:c r="H1731" s="11" t="n">
        <x:v>19567.5</x:v>
      </x:c>
      <x:c r="I1731" s="11" t="n">
        <x:v>61307.67</x:v>
      </x:c>
    </x:row>
    <x:row r="1732">
      <x:c r="A1732" t="n">
        <x:v>2024</x:v>
      </x:c>
      <x:c r="B1732" t="str">
        <x:v>2024-12</x:v>
      </x:c>
      <x:c r="C1732" t="str">
        <x:v>Coffee</x:v>
      </x:c>
      <x:c r="D1732" t="str">
        <x:v>Convenience</x:v>
      </x:c>
      <x:c r="E1732" t="str">
        <x:v>QLD</x:v>
      </x:c>
      <x:c r="F1732" s="11" t="n">
        <x:v>43361.49</x:v>
      </x:c>
      <x:c r="G1732" s="13" t="n">
        <x:v>6133</x:v>
      </x:c>
      <x:c r="H1732" s="11" t="n">
        <x:v>19530.02</x:v>
      </x:c>
      <x:c r="I1732" s="11" t="n">
        <x:v>58974.19</x:v>
      </x:c>
    </x:row>
    <x:row r="1733">
      <x:c r="A1733" t="n">
        <x:v>2024</x:v>
      </x:c>
      <x:c r="B1733" t="str">
        <x:v>2024-12</x:v>
      </x:c>
      <x:c r="C1733" t="str">
        <x:v>Coffee</x:v>
      </x:c>
      <x:c r="D1733" t="str">
        <x:v>Convenience</x:v>
      </x:c>
      <x:c r="E1733" t="str">
        <x:v>VIC</x:v>
      </x:c>
      <x:c r="F1733" s="11" t="n">
        <x:v>42579.69</x:v>
      </x:c>
      <x:c r="G1733" s="13" t="n">
        <x:v>6091</x:v>
      </x:c>
      <x:c r="H1733" s="11" t="n">
        <x:v>18809.27</x:v>
      </x:c>
      <x:c r="I1733" s="11" t="n">
        <x:v>57191.47</x:v>
      </x:c>
    </x:row>
    <x:row r="1734">
      <x:c r="A1734" t="n">
        <x:v>2024</x:v>
      </x:c>
      <x:c r="B1734" t="str">
        <x:v>2024-12</x:v>
      </x:c>
      <x:c r="C1734" t="str">
        <x:v>Coffee</x:v>
      </x:c>
      <x:c r="D1734" t="str">
        <x:v>Grocery</x:v>
      </x:c>
      <x:c r="E1734" t="str">
        <x:v>NSW</x:v>
      </x:c>
      <x:c r="F1734" s="11" t="n">
        <x:v>115372.9</x:v>
      </x:c>
      <x:c r="G1734" s="13" t="n">
        <x:v>18726</x:v>
      </x:c>
      <x:c r="H1734" s="11" t="n">
        <x:v>41791.8</x:v>
      </x:c>
      <x:c r="I1734" s="11" t="n">
        <x:v>152394.66</x:v>
      </x:c>
    </x:row>
    <x:row r="1735">
      <x:c r="A1735" t="n">
        <x:v>2024</x:v>
      </x:c>
      <x:c r="B1735" t="str">
        <x:v>2024-12</x:v>
      </x:c>
      <x:c r="C1735" t="str">
        <x:v>Coffee</x:v>
      </x:c>
      <x:c r="D1735" t="str">
        <x:v>Grocery</x:v>
      </x:c>
      <x:c r="E1735" t="str">
        <x:v>QLD</x:v>
      </x:c>
      <x:c r="F1735" s="11" t="n">
        <x:v>109979.56</x:v>
      </x:c>
      <x:c r="G1735" s="13" t="n">
        <x:v>18169</x:v>
      </x:c>
      <x:c r="H1735" s="11" t="n">
        <x:v>38138.57</x:v>
      </x:c>
      <x:c r="I1735" s="11" t="n">
        <x:v>146534.5</x:v>
      </x:c>
    </x:row>
    <x:row r="1736">
      <x:c r="A1736" t="n">
        <x:v>2024</x:v>
      </x:c>
      <x:c r="B1736" t="str">
        <x:v>2024-12</x:v>
      </x:c>
      <x:c r="C1736" t="str">
        <x:v>Coffee</x:v>
      </x:c>
      <x:c r="D1736" t="str">
        <x:v>Grocery</x:v>
      </x:c>
      <x:c r="E1736" t="str">
        <x:v>VIC</x:v>
      </x:c>
      <x:c r="F1736" s="11" t="n">
        <x:v>105219.93</x:v>
      </x:c>
      <x:c r="G1736" s="13" t="n">
        <x:v>17182</x:v>
      </x:c>
      <x:c r="H1736" s="11" t="n">
        <x:v>37223.09</x:v>
      </x:c>
      <x:c r="I1736" s="11" t="n">
        <x:v>142123.13999999998</x:v>
      </x:c>
    </x:row>
    <x:row r="1737">
      <x:c r="A1737" t="n">
        <x:v>2024</x:v>
      </x:c>
      <x:c r="B1737" t="str">
        <x:v>2024-12</x:v>
      </x:c>
      <x:c r="C1737" t="str">
        <x:v>Coffee</x:v>
      </x:c>
      <x:c r="D1737" t="str">
        <x:v>Hospitality</x:v>
      </x:c>
      <x:c r="E1737" t="str">
        <x:v>NSW</x:v>
      </x:c>
      <x:c r="F1737" s="11" t="n">
        <x:v>14544.53</x:v>
      </x:c>
      <x:c r="G1737" s="13" t="n">
        <x:v>2574</x:v>
      </x:c>
      <x:c r="H1737" s="11" t="n">
        <x:v>4327.95</x:v>
      </x:c>
      <x:c r="I1737" s="11" t="n">
        <x:v>19204.08</x:v>
      </x:c>
    </x:row>
    <x:row r="1738">
      <x:c r="A1738" t="n">
        <x:v>2024</x:v>
      </x:c>
      <x:c r="B1738" t="str">
        <x:v>2024-12</x:v>
      </x:c>
      <x:c r="C1738" t="str">
        <x:v>Coffee</x:v>
      </x:c>
      <x:c r="D1738" t="str">
        <x:v>Hospitality</x:v>
      </x:c>
      <x:c r="E1738" t="str">
        <x:v>QLD</x:v>
      </x:c>
      <x:c r="F1738" s="11" t="n">
        <x:v>13681.24</x:v>
      </x:c>
      <x:c r="G1738" s="13" t="n">
        <x:v>2492</x:v>
      </x:c>
      <x:c r="H1738" s="11" t="n">
        <x:v>3929.93</x:v>
      </x:c>
      <x:c r="I1738" s="11" t="n">
        <x:v>18473.24</x:v>
      </x:c>
    </x:row>
    <x:row r="1739">
      <x:c r="A1739" t="n">
        <x:v>2024</x:v>
      </x:c>
      <x:c r="B1739" t="str">
        <x:v>2024-12</x:v>
      </x:c>
      <x:c r="C1739" t="str">
        <x:v>Coffee</x:v>
      </x:c>
      <x:c r="D1739" t="str">
        <x:v>Hospitality</x:v>
      </x:c>
      <x:c r="E1739" t="str">
        <x:v>VIC</x:v>
      </x:c>
      <x:c r="F1739" s="11" t="n">
        <x:v>13503.449999999999</x:v>
      </x:c>
      <x:c r="G1739" s="13" t="n">
        <x:v>2444</x:v>
      </x:c>
      <x:c r="H1739" s="11" t="n">
        <x:v>3922.07</x:v>
      </x:c>
      <x:c r="I1739" s="11" t="n">
        <x:v>17905.84</x:v>
      </x:c>
    </x:row>
    <x:row r="1740">
      <x:c r="A1740" t="n">
        <x:v>2024</x:v>
      </x:c>
      <x:c r="B1740" t="str">
        <x:v>2024-12</x:v>
      </x:c>
      <x:c r="C1740" t="str">
        <x:v>Coffee</x:v>
      </x:c>
      <x:c r="D1740" t="str">
        <x:v>Independent retail</x:v>
      </x:c>
      <x:c r="E1740" t="str">
        <x:v>NSW</x:v>
      </x:c>
      <x:c r="F1740" s="11" t="n">
        <x:v>38964.95</x:v>
      </x:c>
      <x:c r="G1740" s="13" t="n">
        <x:v>6250</x:v>
      </x:c>
      <x:c r="H1740" s="11" t="n">
        <x:v>14482.6</x:v>
      </x:c>
      <x:c r="I1740" s="11" t="n">
        <x:v>51769.51</x:v>
      </x:c>
    </x:row>
    <x:row r="1741">
      <x:c r="A1741" t="n">
        <x:v>2024</x:v>
      </x:c>
      <x:c r="B1741" t="str">
        <x:v>2024-12</x:v>
      </x:c>
      <x:c r="C1741" t="str">
        <x:v>Coffee</x:v>
      </x:c>
      <x:c r="D1741" t="str">
        <x:v>Independent retail</x:v>
      </x:c>
      <x:c r="E1741" t="str">
        <x:v>QLD</x:v>
      </x:c>
      <x:c r="F1741" s="11" t="n">
        <x:v>37229.55</x:v>
      </x:c>
      <x:c r="G1741" s="13" t="n">
        <x:v>5769</x:v>
      </x:c>
      <x:c r="H1741" s="11" t="n">
        <x:v>14495.06</x:v>
      </x:c>
      <x:c r="I1741" s="11" t="n">
        <x:v>49848.25</x:v>
      </x:c>
    </x:row>
    <x:row r="1742">
      <x:c r="A1742" t="n">
        <x:v>2024</x:v>
      </x:c>
      <x:c r="B1742" t="str">
        <x:v>2024-12</x:v>
      </x:c>
      <x:c r="C1742" t="str">
        <x:v>Coffee</x:v>
      </x:c>
      <x:c r="D1742" t="str">
        <x:v>Independent retail</x:v>
      </x:c>
      <x:c r="E1742" t="str">
        <x:v>VIC</x:v>
      </x:c>
      <x:c r="F1742" s="11" t="n">
        <x:v>36371</x:v>
      </x:c>
      <x:c r="G1742" s="13" t="n">
        <x:v>5833</x:v>
      </x:c>
      <x:c r="H1742" s="11" t="n">
        <x:v>13861.06</x:v>
      </x:c>
      <x:c r="I1742" s="11" t="n">
        <x:v>48342.69</x:v>
      </x:c>
    </x:row>
    <x:row r="1743">
      <x:c r="A1743" t="n">
        <x:v>2024</x:v>
      </x:c>
      <x:c r="B1743" t="str">
        <x:v>2024-12</x:v>
      </x:c>
      <x:c r="C1743" t="str">
        <x:v>Coffee</x:v>
      </x:c>
      <x:c r="D1743" t="str">
        <x:v>Petrol</x:v>
      </x:c>
      <x:c r="E1743" t="str">
        <x:v>NSW</x:v>
      </x:c>
      <x:c r="F1743" s="11" t="n">
        <x:v>42135.48</x:v>
      </x:c>
      <x:c r="G1743" s="13" t="n">
        <x:v>6112</x:v>
      </x:c>
      <x:c r="H1743" s="11" t="n">
        <x:v>18446.2</x:v>
      </x:c>
      <x:c r="I1743" s="11" t="n">
        <x:v>55931.51</x:v>
      </x:c>
    </x:row>
    <x:row r="1744">
      <x:c r="A1744" t="n">
        <x:v>2024</x:v>
      </x:c>
      <x:c r="B1744" t="str">
        <x:v>2024-12</x:v>
      </x:c>
      <x:c r="C1744" t="str">
        <x:v>Coffee</x:v>
      </x:c>
      <x:c r="D1744" t="str">
        <x:v>Petrol</x:v>
      </x:c>
      <x:c r="E1744" t="str">
        <x:v>QLD</x:v>
      </x:c>
      <x:c r="F1744" s="11" t="n">
        <x:v>40860.28</x:v>
      </x:c>
      <x:c r="G1744" s="13" t="n">
        <x:v>5868</x:v>
      </x:c>
      <x:c r="H1744" s="11" t="n">
        <x:v>17601.19</x:v>
      </x:c>
      <x:c r="I1744" s="11" t="n">
        <x:v>53774.97</x:v>
      </x:c>
    </x:row>
    <x:row r="1745">
      <x:c r="A1745" t="n">
        <x:v>2024</x:v>
      </x:c>
      <x:c r="B1745" t="str">
        <x:v>2024-12</x:v>
      </x:c>
      <x:c r="C1745" t="str">
        <x:v>Coffee</x:v>
      </x:c>
      <x:c r="D1745" t="str">
        <x:v>Petrol</x:v>
      </x:c>
      <x:c r="E1745" t="str">
        <x:v>VIC</x:v>
      </x:c>
      <x:c r="F1745" s="11" t="n">
        <x:v>39597.42</x:v>
      </x:c>
      <x:c r="G1745" s="13" t="n">
        <x:v>5625</x:v>
      </x:c>
      <x:c r="H1745" s="11" t="n">
        <x:v>17411.04</x:v>
      </x:c>
      <x:c r="I1745" s="11" t="n">
        <x:v>52159.04</x:v>
      </x:c>
    </x:row>
    <x:row r="1746">
      <x:c r="A1746" t="n">
        <x:v>2024</x:v>
      </x:c>
      <x:c r="B1746" t="str">
        <x:v>2024-12</x:v>
      </x:c>
      <x:c r="C1746" t="str">
        <x:v>Energy</x:v>
      </x:c>
      <x:c r="D1746" t="str">
        <x:v>Convenience</x:v>
      </x:c>
      <x:c r="E1746" t="str">
        <x:v>NSW</x:v>
      </x:c>
      <x:c r="F1746" s="11" t="n">
        <x:v>111481.88</x:v>
      </x:c>
      <x:c r="G1746" s="13" t="n">
        <x:v>20029</x:v>
      </x:c>
      <x:c r="H1746" s="11" t="n">
        <x:v>67779.3</x:v>
      </x:c>
      <x:c r="I1746" s="11" t="n">
        <x:v>150080.36</x:v>
      </x:c>
    </x:row>
    <x:row r="1747">
      <x:c r="A1747" t="n">
        <x:v>2024</x:v>
      </x:c>
      <x:c r="B1747" t="str">
        <x:v>2024-12</x:v>
      </x:c>
      <x:c r="C1747" t="str">
        <x:v>Energy</x:v>
      </x:c>
      <x:c r="D1747" t="str">
        <x:v>Convenience</x:v>
      </x:c>
      <x:c r="E1747" t="str">
        <x:v>QLD</x:v>
      </x:c>
      <x:c r="F1747" s="11" t="n">
        <x:v>106069.56</x:v>
      </x:c>
      <x:c r="G1747" s="13" t="n">
        <x:v>18787</x:v>
      </x:c>
      <x:c r="H1747" s="11" t="n">
        <x:v>64656.05</x:v>
      </x:c>
      <x:c r="I1747" s="11" t="n">
        <x:v>144322.66</x:v>
      </x:c>
    </x:row>
    <x:row r="1748">
      <x:c r="A1748" t="n">
        <x:v>2024</x:v>
      </x:c>
      <x:c r="B1748" t="str">
        <x:v>2024-12</x:v>
      </x:c>
      <x:c r="C1748" t="str">
        <x:v>Energy</x:v>
      </x:c>
      <x:c r="D1748" t="str">
        <x:v>Convenience</x:v>
      </x:c>
      <x:c r="E1748" t="str">
        <x:v>VIC</x:v>
      </x:c>
      <x:c r="F1748" s="11" t="n">
        <x:v>102205.28</x:v>
      </x:c>
      <x:c r="G1748" s="13" t="n">
        <x:v>18625</x:v>
      </x:c>
      <x:c r="H1748" s="11" t="n">
        <x:v>62045.35</x:v>
      </x:c>
      <x:c r="I1748" s="11" t="n">
        <x:v>140001.21</x:v>
      </x:c>
    </x:row>
    <x:row r="1749">
      <x:c r="A1749" t="n">
        <x:v>2024</x:v>
      </x:c>
      <x:c r="B1749" t="str">
        <x:v>2024-12</x:v>
      </x:c>
      <x:c r="C1749" t="str">
        <x:v>Energy</x:v>
      </x:c>
      <x:c r="D1749" t="str">
        <x:v>Grocery</x:v>
      </x:c>
      <x:c r="E1749" t="str">
        <x:v>NSW</x:v>
      </x:c>
      <x:c r="F1749" s="11" t="n">
        <x:v>431299.38</x:v>
      </x:c>
      <x:c r="G1749" s="13" t="n">
        <x:v>89938</x:v>
      </x:c>
      <x:c r="H1749" s="11" t="n">
        <x:v>229545.93</x:v>
      </x:c>
      <x:c r="I1749" s="11" t="n">
        <x:v>373585.39</x:v>
      </x:c>
    </x:row>
    <x:row r="1750">
      <x:c r="A1750" t="n">
        <x:v>2024</x:v>
      </x:c>
      <x:c r="B1750" t="str">
        <x:v>2024-12</x:v>
      </x:c>
      <x:c r="C1750" t="str">
        <x:v>Energy</x:v>
      </x:c>
      <x:c r="D1750" t="str">
        <x:v>Grocery</x:v>
      </x:c>
      <x:c r="E1750" t="str">
        <x:v>QLD</x:v>
      </x:c>
      <x:c r="F1750" s="11" t="n">
        <x:v>402278.23</x:v>
      </x:c>
      <x:c r="G1750" s="13" t="n">
        <x:v>84293</x:v>
      </x:c>
      <x:c r="H1750" s="11" t="n">
        <x:v>217780.09</x:v>
      </x:c>
      <x:c r="I1750" s="11" t="n">
        <x:v>359224.77999999997</x:v>
      </x:c>
    </x:row>
    <x:row r="1751">
      <x:c r="A1751" t="n">
        <x:v>2024</x:v>
      </x:c>
      <x:c r="B1751" t="str">
        <x:v>2024-12</x:v>
      </x:c>
      <x:c r="C1751" t="str">
        <x:v>Energy</x:v>
      </x:c>
      <x:c r="D1751" t="str">
        <x:v>Grocery</x:v>
      </x:c>
      <x:c r="E1751" t="str">
        <x:v>VIC</x:v>
      </x:c>
      <x:c r="F1751" s="11" t="n">
        <x:v>401534.55</x:v>
      </x:c>
      <x:c r="G1751" s="13" t="n">
        <x:v>84380</x:v>
      </x:c>
      <x:c r="H1751" s="11" t="n">
        <x:v>213237.12</x:v>
      </x:c>
      <x:c r="I1751" s="11" t="n">
        <x:v>348430.06</x:v>
      </x:c>
    </x:row>
    <x:row r="1752">
      <x:c r="A1752" t="n">
        <x:v>2024</x:v>
      </x:c>
      <x:c r="B1752" t="str">
        <x:v>2024-12</x:v>
      </x:c>
      <x:c r="C1752" t="str">
        <x:v>Energy</x:v>
      </x:c>
      <x:c r="D1752" t="str">
        <x:v>Hospitality</x:v>
      </x:c>
      <x:c r="E1752" t="str">
        <x:v>NSW</x:v>
      </x:c>
      <x:c r="F1752" s="11" t="n">
        <x:v>53905.47</x:v>
      </x:c>
      <x:c r="G1752" s="13" t="n">
        <x:v>12319</x:v>
      </x:c>
      <x:c r="H1752" s="11" t="n">
        <x:v>26561.11</x:v>
      </x:c>
      <x:c r="I1752" s="11" t="n">
        <x:v>46857.08</x:v>
      </x:c>
    </x:row>
    <x:row r="1753">
      <x:c r="A1753" t="n">
        <x:v>2024</x:v>
      </x:c>
      <x:c r="B1753" t="str">
        <x:v>2024-12</x:v>
      </x:c>
      <x:c r="C1753" t="str">
        <x:v>Energy</x:v>
      </x:c>
      <x:c r="D1753" t="str">
        <x:v>Hospitality</x:v>
      </x:c>
      <x:c r="E1753" t="str">
        <x:v>QLD</x:v>
      </x:c>
      <x:c r="F1753" s="11" t="n">
        <x:v>51647.62</x:v>
      </x:c>
      <x:c r="G1753" s="13" t="n">
        <x:v>11708</x:v>
      </x:c>
      <x:c r="H1753" s="11" t="n">
        <x:v>26072.47</x:v>
      </x:c>
      <x:c r="I1753" s="11" t="n">
        <x:v>45065.27</x:v>
      </x:c>
    </x:row>
    <x:row r="1754">
      <x:c r="A1754" t="n">
        <x:v>2024</x:v>
      </x:c>
      <x:c r="B1754" t="str">
        <x:v>2024-12</x:v>
      </x:c>
      <x:c r="C1754" t="str">
        <x:v>Energy</x:v>
      </x:c>
      <x:c r="D1754" t="str">
        <x:v>Hospitality</x:v>
      </x:c>
      <x:c r="E1754" t="str">
        <x:v>VIC</x:v>
      </x:c>
      <x:c r="F1754" s="11" t="n">
        <x:v>49381.99</x:v>
      </x:c>
      <x:c r="G1754" s="13" t="n">
        <x:v>11217</x:v>
      </x:c>
      <x:c r="H1754" s="11" t="n">
        <x:v>24787.01</x:v>
      </x:c>
      <x:c r="I1754" s="11" t="n">
        <x:v>43718.66</x:v>
      </x:c>
    </x:row>
    <x:row r="1755">
      <x:c r="A1755" t="n">
        <x:v>2024</x:v>
      </x:c>
      <x:c r="B1755" t="str">
        <x:v>2024-12</x:v>
      </x:c>
      <x:c r="C1755" t="str">
        <x:v>Energy</x:v>
      </x:c>
      <x:c r="D1755" t="str">
        <x:v>Independent retail</x:v>
      </x:c>
      <x:c r="E1755" t="str">
        <x:v>NSW</x:v>
      </x:c>
      <x:c r="F1755" s="11" t="n">
        <x:v>143169.5</x:v>
      </x:c>
      <x:c r="G1755" s="13" t="n">
        <x:v>28931</x:v>
      </x:c>
      <x:c r="H1755" s="11" t="n">
        <x:v>79972.76</x:v>
      </x:c>
      <x:c r="I1755" s="11" t="n">
        <x:v>126956.31</x:v>
      </x:c>
    </x:row>
    <x:row r="1756">
      <x:c r="A1756" t="n">
        <x:v>2024</x:v>
      </x:c>
      <x:c r="B1756" t="str">
        <x:v>2024-12</x:v>
      </x:c>
      <x:c r="C1756" t="str">
        <x:v>Energy</x:v>
      </x:c>
      <x:c r="D1756" t="str">
        <x:v>Independent retail</x:v>
      </x:c>
      <x:c r="E1756" t="str">
        <x:v>QLD</x:v>
      </x:c>
      <x:c r="F1756" s="11" t="n">
        <x:v>139266.24</x:v>
      </x:c>
      <x:c r="G1756" s="13" t="n">
        <x:v>27747</x:v>
      </x:c>
      <x:c r="H1756" s="11" t="n">
        <x:v>77111.25</x:v>
      </x:c>
      <x:c r="I1756" s="11" t="n">
        <x:v>122058.31</x:v>
      </x:c>
    </x:row>
    <x:row r="1757">
      <x:c r="A1757" t="n">
        <x:v>2024</x:v>
      </x:c>
      <x:c r="B1757" t="str">
        <x:v>2024-12</x:v>
      </x:c>
      <x:c r="C1757" t="str">
        <x:v>Energy</x:v>
      </x:c>
      <x:c r="D1757" t="str">
        <x:v>Independent retail</x:v>
      </x:c>
      <x:c r="E1757" t="str">
        <x:v>VIC</x:v>
      </x:c>
      <x:c r="F1757" s="11" t="n">
        <x:v>132933.28</x:v>
      </x:c>
      <x:c r="G1757" s="13" t="n">
        <x:v>26413</x:v>
      </x:c>
      <x:c r="H1757" s="11" t="n">
        <x:v>74519.09</x:v>
      </x:c>
      <x:c r="I1757" s="11" t="n">
        <x:v>118392.34</x:v>
      </x:c>
    </x:row>
    <x:row r="1758">
      <x:c r="A1758" t="n">
        <x:v>2024</x:v>
      </x:c>
      <x:c r="B1758" t="str">
        <x:v>2024-12</x:v>
      </x:c>
      <x:c r="C1758" t="str">
        <x:v>Energy</x:v>
      </x:c>
      <x:c r="D1758" t="str">
        <x:v>Petrol</x:v>
      </x:c>
      <x:c r="E1758" t="str">
        <x:v>NSW</x:v>
      </x:c>
      <x:c r="F1758" s="11" t="n">
        <x:v>157379.43</x:v>
      </x:c>
      <x:c r="G1758" s="13" t="n">
        <x:v>28827</x:v>
      </x:c>
      <x:c r="H1758" s="11" t="n">
        <x:v>92701.66</x:v>
      </x:c>
      <x:c r="I1758" s="11" t="n">
        <x:v>136975.94</x:v>
      </x:c>
    </x:row>
    <x:row r="1759">
      <x:c r="A1759" t="n">
        <x:v>2024</x:v>
      </x:c>
      <x:c r="B1759" t="str">
        <x:v>2024-12</x:v>
      </x:c>
      <x:c r="C1759" t="str">
        <x:v>Energy</x:v>
      </x:c>
      <x:c r="D1759" t="str">
        <x:v>Petrol</x:v>
      </x:c>
      <x:c r="E1759" t="str">
        <x:v>QLD</x:v>
      </x:c>
      <x:c r="F1759" s="11" t="n">
        <x:v>148394.34</x:v>
      </x:c>
      <x:c r="G1759" s="13" t="n">
        <x:v>27878</x:v>
      </x:c>
      <x:c r="H1759" s="11" t="n">
        <x:v>86358.7</x:v>
      </x:c>
      <x:c r="I1759" s="11" t="n">
        <x:v>131691.41</x:v>
      </x:c>
    </x:row>
    <x:row r="1760">
      <x:c r="A1760" t="n">
        <x:v>2024</x:v>
      </x:c>
      <x:c r="B1760" t="str">
        <x:v>2024-12</x:v>
      </x:c>
      <x:c r="C1760" t="str">
        <x:v>Energy</x:v>
      </x:c>
      <x:c r="D1760" t="str">
        <x:v>Petrol</x:v>
      </x:c>
      <x:c r="E1760" t="str">
        <x:v>VIC</x:v>
      </x:c>
      <x:c r="F1760" s="11" t="n">
        <x:v>146145.98</x:v>
      </x:c>
      <x:c r="G1760" s="13" t="n">
        <x:v>26892</x:v>
      </x:c>
      <x:c r="H1760" s="11" t="n">
        <x:v>85651.83</x:v>
      </x:c>
      <x:c r="I1760" s="11" t="n">
        <x:v>127716.08</x:v>
      </x:c>
    </x:row>
    <x:row r="1761">
      <x:c r="A1761" t="n">
        <x:v>2024</x:v>
      </x:c>
      <x:c r="B1761" t="str">
        <x:v>2024-12</x:v>
      </x:c>
      <x:c r="C1761" t="str">
        <x:v>Sparkling</x:v>
      </x:c>
      <x:c r="D1761" t="str">
        <x:v>Convenience</x:v>
      </x:c>
      <x:c r="E1761" t="str">
        <x:v>NSW</x:v>
      </x:c>
      <x:c r="F1761" s="11" t="n">
        <x:v>151291.3</x:v>
      </x:c>
      <x:c r="G1761" s="13" t="n">
        <x:v>35921</x:v>
      </x:c>
      <x:c r="H1761" s="11" t="n">
        <x:v>83637.58</x:v>
      </x:c>
      <x:c r="I1761" s="11" t="n">
        <x:v>152934.71</x:v>
      </x:c>
    </x:row>
    <x:row r="1762">
      <x:c r="A1762" t="n">
        <x:v>2024</x:v>
      </x:c>
      <x:c r="B1762" t="str">
        <x:v>2024-12</x:v>
      </x:c>
      <x:c r="C1762" t="str">
        <x:v>Sparkling</x:v>
      </x:c>
      <x:c r="D1762" t="str">
        <x:v>Convenience</x:v>
      </x:c>
      <x:c r="E1762" t="str">
        <x:v>QLD</x:v>
      </x:c>
      <x:c r="F1762" s="11" t="n">
        <x:v>150142.15</x:v>
      </x:c>
      <x:c r="G1762" s="13" t="n">
        <x:v>36257</x:v>
      </x:c>
      <x:c r="H1762" s="11" t="n">
        <x:v>81091.21</x:v>
      </x:c>
      <x:c r="I1762" s="11" t="n">
        <x:v>147061.74</x:v>
      </x:c>
    </x:row>
    <x:row r="1763">
      <x:c r="A1763" t="n">
        <x:v>2024</x:v>
      </x:c>
      <x:c r="B1763" t="str">
        <x:v>2024-12</x:v>
      </x:c>
      <x:c r="C1763" t="str">
        <x:v>Sparkling</x:v>
      </x:c>
      <x:c r="D1763" t="str">
        <x:v>Convenience</x:v>
      </x:c>
      <x:c r="E1763" t="str">
        <x:v>VIC</x:v>
      </x:c>
      <x:c r="F1763" s="11" t="n">
        <x:v>139950</x:v>
      </x:c>
      <x:c r="G1763" s="13" t="n">
        <x:v>33643</x:v>
      </x:c>
      <x:c r="H1763" s="11" t="n">
        <x:v>76370.85</x:v>
      </x:c>
      <x:c r="I1763" s="11" t="n">
        <x:v>142654.62</x:v>
      </x:c>
    </x:row>
    <x:row r="1764">
      <x:c r="A1764" t="n">
        <x:v>2024</x:v>
      </x:c>
      <x:c r="B1764" t="str">
        <x:v>2024-12</x:v>
      </x:c>
      <x:c r="C1764" t="str">
        <x:v>Sparkling</x:v>
      </x:c>
      <x:c r="D1764" t="str">
        <x:v>Grocery</x:v>
      </x:c>
      <x:c r="E1764" t="str">
        <x:v>NSW</x:v>
      </x:c>
      <x:c r="F1764" s="11" t="n">
        <x:v>368140.27</x:v>
      </x:c>
      <x:c r="G1764" s="13" t="n">
        <x:v>105824</x:v>
      </x:c>
      <x:c r="H1764" s="11" t="n">
        <x:v>172093.14</x:v>
      </x:c>
      <x:c r="I1764" s="11" t="n">
        <x:v>380266.98</x:v>
      </x:c>
    </x:row>
    <x:row r="1765">
      <x:c r="A1765" t="n">
        <x:v>2024</x:v>
      </x:c>
      <x:c r="B1765" t="str">
        <x:v>2024-12</x:v>
      </x:c>
      <x:c r="C1765" t="str">
        <x:v>Sparkling</x:v>
      </x:c>
      <x:c r="D1765" t="str">
        <x:v>Grocery</x:v>
      </x:c>
      <x:c r="E1765" t="str">
        <x:v>QLD</x:v>
      </x:c>
      <x:c r="F1765" s="11" t="n">
        <x:v>357971.54</x:v>
      </x:c>
      <x:c r="G1765" s="13" t="n">
        <x:v>99633</x:v>
      </x:c>
      <x:c r="H1765" s="11" t="n">
        <x:v>171687.42</x:v>
      </x:c>
      <x:c r="I1765" s="11" t="n">
        <x:v>365610.41</x:v>
      </x:c>
    </x:row>
    <x:row r="1766">
      <x:c r="A1766" t="n">
        <x:v>2024</x:v>
      </x:c>
      <x:c r="B1766" t="str">
        <x:v>2024-12</x:v>
      </x:c>
      <x:c r="C1766" t="str">
        <x:v>Sparkling</x:v>
      </x:c>
      <x:c r="D1766" t="str">
        <x:v>Grocery</x:v>
      </x:c>
      <x:c r="E1766" t="str">
        <x:v>VIC</x:v>
      </x:c>
      <x:c r="F1766" s="11" t="n">
        <x:v>350489.67</x:v>
      </x:c>
      <x:c r="G1766" s="13" t="n">
        <x:v>98096</x:v>
      </x:c>
      <x:c r="H1766" s="11" t="n">
        <x:v>166574.27</x:v>
      </x:c>
      <x:c r="I1766" s="11" t="n">
        <x:v>354645.29</x:v>
      </x:c>
    </x:row>
    <x:row r="1767">
      <x:c r="A1767" t="n">
        <x:v>2024</x:v>
      </x:c>
      <x:c r="B1767" t="str">
        <x:v>2024-12</x:v>
      </x:c>
      <x:c r="C1767" t="str">
        <x:v>Sparkling</x:v>
      </x:c>
      <x:c r="D1767" t="str">
        <x:v>Hospitality</x:v>
      </x:c>
      <x:c r="E1767" t="str">
        <x:v>NSW</x:v>
      </x:c>
      <x:c r="F1767" s="11" t="n">
        <x:v>47903.98</x:v>
      </x:c>
      <x:c r="G1767" s="13" t="n">
        <x:v>14470</x:v>
      </x:c>
      <x:c r="H1767" s="11" t="n">
        <x:v>20645.43</x:v>
      </x:c>
      <x:c r="I1767" s="11" t="n">
        <x:v>47585.02</x:v>
      </x:c>
    </x:row>
    <x:row r="1768">
      <x:c r="A1768" t="n">
        <x:v>2024</x:v>
      </x:c>
      <x:c r="B1768" t="str">
        <x:v>2024-12</x:v>
      </x:c>
      <x:c r="C1768" t="str">
        <x:v>Sparkling</x:v>
      </x:c>
      <x:c r="D1768" t="str">
        <x:v>Hospitality</x:v>
      </x:c>
      <x:c r="E1768" t="str">
        <x:v>QLD</x:v>
      </x:c>
      <x:c r="F1768" s="11" t="n">
        <x:v>45551.27</x:v>
      </x:c>
      <x:c r="G1768" s="13" t="n">
        <x:v>13717</x:v>
      </x:c>
      <x:c r="H1768" s="11" t="n">
        <x:v>19827.52</x:v>
      </x:c>
      <x:c r="I1768" s="11" t="n">
        <x:v>45735.44</x:v>
      </x:c>
    </x:row>
    <x:row r="1769">
      <x:c r="A1769" t="n">
        <x:v>2024</x:v>
      </x:c>
      <x:c r="B1769" t="str">
        <x:v>2024-12</x:v>
      </x:c>
      <x:c r="C1769" t="str">
        <x:v>Sparkling</x:v>
      </x:c>
      <x:c r="D1769" t="str">
        <x:v>Hospitality</x:v>
      </x:c>
      <x:c r="E1769" t="str">
        <x:v>VIC</x:v>
      </x:c>
      <x:c r="F1769" s="11" t="n">
        <x:v>43612.2</x:v>
      </x:c>
      <x:c r="G1769" s="13" t="n">
        <x:v>13173</x:v>
      </x:c>
      <x:c r="H1769" s="11" t="n">
        <x:v>18973.36</x:v>
      </x:c>
      <x:c r="I1769" s="11" t="n">
        <x:v>44380.91</x:v>
      </x:c>
    </x:row>
    <x:row r="1770">
      <x:c r="A1770" t="n">
        <x:v>2024</x:v>
      </x:c>
      <x:c r="B1770" t="str">
        <x:v>2024-12</x:v>
      </x:c>
      <x:c r="C1770" t="str">
        <x:v>Sparkling</x:v>
      </x:c>
      <x:c r="D1770" t="str">
        <x:v>Independent retail</x:v>
      </x:c>
      <x:c r="E1770" t="str">
        <x:v>NSW</x:v>
      </x:c>
      <x:c r="F1770" s="11" t="n">
        <x:v>129857.7</x:v>
      </x:c>
      <x:c r="G1770" s="13" t="n">
        <x:v>34747</x:v>
      </x:c>
      <x:c r="H1770" s="11" t="n">
        <x:v>63652.43</x:v>
      </x:c>
      <x:c r="I1770" s="11" t="n">
        <x:v>129407.56</x:v>
      </x:c>
    </x:row>
    <x:row r="1771">
      <x:c r="A1771" t="n">
        <x:v>2024</x:v>
      </x:c>
      <x:c r="B1771" t="str">
        <x:v>2024-12</x:v>
      </x:c>
      <x:c r="C1771" t="str">
        <x:v>Sparkling</x:v>
      </x:c>
      <x:c r="D1771" t="str">
        <x:v>Independent retail</x:v>
      </x:c>
      <x:c r="E1771" t="str">
        <x:v>QLD</x:v>
      </x:c>
      <x:c r="F1771" s="11" t="n">
        <x:v>122650.72</x:v>
      </x:c>
      <x:c r="G1771" s="13" t="n">
        <x:v>33505</x:v>
      </x:c>
      <x:c r="H1771" s="11" t="n">
        <x:v>59105.47</x:v>
      </x:c>
      <x:c r="I1771" s="11" t="n">
        <x:v>124431.12</x:v>
      </x:c>
    </x:row>
    <x:row r="1772">
      <x:c r="A1772" t="n">
        <x:v>2024</x:v>
      </x:c>
      <x:c r="B1772" t="str">
        <x:v>2024-12</x:v>
      </x:c>
      <x:c r="C1772" t="str">
        <x:v>Sparkling</x:v>
      </x:c>
      <x:c r="D1772" t="str">
        <x:v>Independent retail</x:v>
      </x:c>
      <x:c r="E1772" t="str">
        <x:v>VIC</x:v>
      </x:c>
      <x:c r="F1772" s="11" t="n">
        <x:v>120172.23</x:v>
      </x:c>
      <x:c r="G1772" s="13" t="n">
        <x:v>32661</x:v>
      </x:c>
      <x:c r="H1772" s="11" t="n">
        <x:v>57887.97</x:v>
      </x:c>
      <x:c r="I1772" s="11" t="n">
        <x:v>120684.91</x:v>
      </x:c>
    </x:row>
    <x:row r="1773">
      <x:c r="A1773" t="n">
        <x:v>2024</x:v>
      </x:c>
      <x:c r="B1773" t="str">
        <x:v>2024-12</x:v>
      </x:c>
      <x:c r="C1773" t="str">
        <x:v>Sparkling</x:v>
      </x:c>
      <x:c r="D1773" t="str">
        <x:v>Petrol</x:v>
      </x:c>
      <x:c r="E1773" t="str">
        <x:v>NSW</x:v>
      </x:c>
      <x:c r="F1773" s="11" t="n">
        <x:v>138954.82</x:v>
      </x:c>
      <x:c r="G1773" s="13" t="n">
        <x:v>34801</x:v>
      </x:c>
      <x:c r="H1773" s="11" t="n">
        <x:v>72765.52</x:v>
      </x:c>
      <x:c r="I1773" s="11" t="n">
        <x:v>139453.07</x:v>
      </x:c>
    </x:row>
    <x:row r="1774">
      <x:c r="A1774" t="n">
        <x:v>2024</x:v>
      </x:c>
      <x:c r="B1774" t="str">
        <x:v>2024-12</x:v>
      </x:c>
      <x:c r="C1774" t="str">
        <x:v>Sparkling</x:v>
      </x:c>
      <x:c r="D1774" t="str">
        <x:v>Petrol</x:v>
      </x:c>
      <x:c r="E1774" t="str">
        <x:v>QLD</x:v>
      </x:c>
      <x:c r="F1774" s="11" t="n">
        <x:v>130715.58</x:v>
      </x:c>
      <x:c r="G1774" s="13" t="n">
        <x:v>32914</x:v>
      </x:c>
      <x:c r="H1774" s="11" t="n">
        <x:v>68840.19</x:v>
      </x:c>
      <x:c r="I1774" s="11" t="n">
        <x:v>134062.32</x:v>
      </x:c>
    </x:row>
    <x:row r="1775">
      <x:c r="A1775" t="n">
        <x:v>2024</x:v>
      </x:c>
      <x:c r="B1775" t="str">
        <x:v>2024-12</x:v>
      </x:c>
      <x:c r="C1775" t="str">
        <x:v>Sparkling</x:v>
      </x:c>
      <x:c r="D1775" t="str">
        <x:v>Petrol</x:v>
      </x:c>
      <x:c r="E1775" t="str">
        <x:v>VIC</x:v>
      </x:c>
      <x:c r="F1775" s="11" t="n">
        <x:v>129694.21</x:v>
      </x:c>
      <x:c r="G1775" s="13" t="n">
        <x:v>32719</x:v>
      </x:c>
      <x:c r="H1775" s="11" t="n">
        <x:v>67597.71</x:v>
      </x:c>
      <x:c r="I1775" s="11" t="n">
        <x:v>130064.28</x:v>
      </x:c>
    </x:row>
    <x:row r="1776">
      <x:c r="A1776" t="n">
        <x:v>2024</x:v>
      </x:c>
      <x:c r="B1776" t="str">
        <x:v>2024-12</x:v>
      </x:c>
      <x:c r="C1776" t="str">
        <x:v>Sports</x:v>
      </x:c>
      <x:c r="D1776" t="str">
        <x:v>Convenience</x:v>
      </x:c>
      <x:c r="E1776" t="str">
        <x:v>NSW</x:v>
      </x:c>
      <x:c r="F1776" s="11" t="n">
        <x:v>86834.05</x:v>
      </x:c>
      <x:c r="G1776" s="13" t="n">
        <x:v>16347</x:v>
      </x:c>
      <x:c r="H1776" s="11" t="n">
        <x:v>46988.53</x:v>
      </x:c>
      <x:c r="I1776" s="11" t="n">
        <x:v>84435.29</x:v>
      </x:c>
    </x:row>
    <x:row r="1777">
      <x:c r="A1777" t="n">
        <x:v>2024</x:v>
      </x:c>
      <x:c r="B1777" t="str">
        <x:v>2024-12</x:v>
      </x:c>
      <x:c r="C1777" t="str">
        <x:v>Sports</x:v>
      </x:c>
      <x:c r="D1777" t="str">
        <x:v>Convenience</x:v>
      </x:c>
      <x:c r="E1777" t="str">
        <x:v>QLD</x:v>
      </x:c>
      <x:c r="F1777" s="11" t="n">
        <x:v>85578.22</x:v>
      </x:c>
      <x:c r="G1777" s="13" t="n">
        <x:v>16755</x:v>
      </x:c>
      <x:c r="H1777" s="11" t="n">
        <x:v>44751.24</x:v>
      </x:c>
      <x:c r="I1777" s="11" t="n">
        <x:v>81185.74</x:v>
      </x:c>
    </x:row>
    <x:row r="1778">
      <x:c r="A1778" t="n">
        <x:v>2024</x:v>
      </x:c>
      <x:c r="B1778" t="str">
        <x:v>2024-12</x:v>
      </x:c>
      <x:c r="C1778" t="str">
        <x:v>Sports</x:v>
      </x:c>
      <x:c r="D1778" t="str">
        <x:v>Convenience</x:v>
      </x:c>
      <x:c r="E1778" t="str">
        <x:v>VIC</x:v>
      </x:c>
      <x:c r="F1778" s="11" t="n">
        <x:v>80363.41</x:v>
      </x:c>
      <x:c r="G1778" s="13" t="n">
        <x:v>15493</x:v>
      </x:c>
      <x:c r="H1778" s="11" t="n">
        <x:v>42867.29</x:v>
      </x:c>
      <x:c r="I1778" s="11" t="n">
        <x:v>78739.25</x:v>
      </x:c>
    </x:row>
    <x:row r="1779">
      <x:c r="A1779" t="n">
        <x:v>2024</x:v>
      </x:c>
      <x:c r="B1779" t="str">
        <x:v>2024-12</x:v>
      </x:c>
      <x:c r="C1779" t="str">
        <x:v>Sports</x:v>
      </x:c>
      <x:c r="D1779" t="str">
        <x:v>Grocery</x:v>
      </x:c>
      <x:c r="E1779" t="str">
        <x:v>NSW</x:v>
      </x:c>
      <x:c r="F1779" s="11" t="n">
        <x:v>224984.38</x:v>
      </x:c>
      <x:c r="G1779" s="13" t="n">
        <x:v>53455</x:v>
      </x:c>
      <x:c r="H1779" s="11" t="n">
        <x:v>98997.28</x:v>
      </x:c>
      <x:c r="I1779" s="11" t="n">
        <x:v>209601.4</x:v>
      </x:c>
    </x:row>
    <x:row r="1780">
      <x:c r="A1780" t="n">
        <x:v>2024</x:v>
      </x:c>
      <x:c r="B1780" t="str">
        <x:v>2024-12</x:v>
      </x:c>
      <x:c r="C1780" t="str">
        <x:v>Sports</x:v>
      </x:c>
      <x:c r="D1780" t="str">
        <x:v>Grocery</x:v>
      </x:c>
      <x:c r="E1780" t="str">
        <x:v>QLD</x:v>
      </x:c>
      <x:c r="F1780" s="11" t="n">
        <x:v>212076.15</x:v>
      </x:c>
      <x:c r="G1780" s="13" t="n">
        <x:v>46824</x:v>
      </x:c>
      <x:c r="H1780" s="11" t="n">
        <x:v>99198.16</x:v>
      </x:c>
      <x:c r="I1780" s="11" t="n">
        <x:v>201542.84</x:v>
      </x:c>
    </x:row>
    <x:row r="1781">
      <x:c r="A1781" t="n">
        <x:v>2024</x:v>
      </x:c>
      <x:c r="B1781" t="str">
        <x:v>2024-12</x:v>
      </x:c>
      <x:c r="C1781" t="str">
        <x:v>Sports</x:v>
      </x:c>
      <x:c r="D1781" t="str">
        <x:v>Grocery</x:v>
      </x:c>
      <x:c r="E1781" t="str">
        <x:v>VIC</x:v>
      </x:c>
      <x:c r="F1781" s="11" t="n">
        <x:v>206593.31</x:v>
      </x:c>
      <x:c r="G1781" s="13" t="n">
        <x:v>46941</x:v>
      </x:c>
      <x:c r="H1781" s="11" t="n">
        <x:v>94424.13</x:v>
      </x:c>
      <x:c r="I1781" s="11" t="n">
        <x:v>195506.88</x:v>
      </x:c>
    </x:row>
    <x:row r="1782">
      <x:c r="A1782" t="n">
        <x:v>2024</x:v>
      </x:c>
      <x:c r="B1782" t="str">
        <x:v>2024-12</x:v>
      </x:c>
      <x:c r="C1782" t="str">
        <x:v>Sports</x:v>
      </x:c>
      <x:c r="D1782" t="str">
        <x:v>Hospitality</x:v>
      </x:c>
      <x:c r="E1782" t="str">
        <x:v>NSW</x:v>
      </x:c>
      <x:c r="F1782" s="11" t="n">
        <x:v>28578.41</x:v>
      </x:c>
      <x:c r="G1782" s="13" t="n">
        <x:v>7003</x:v>
      </x:c>
      <x:c r="H1782" s="11" t="n">
        <x:v>11728.73</x:v>
      </x:c>
      <x:c r="I1782" s="11" t="n">
        <x:v>26245.69</x:v>
      </x:c>
    </x:row>
    <x:row r="1783">
      <x:c r="A1783" t="n">
        <x:v>2024</x:v>
      </x:c>
      <x:c r="B1783" t="str">
        <x:v>2024-12</x:v>
      </x:c>
      <x:c r="C1783" t="str">
        <x:v>Sports</x:v>
      </x:c>
      <x:c r="D1783" t="str">
        <x:v>Hospitality</x:v>
      </x:c>
      <x:c r="E1783" t="str">
        <x:v>QLD</x:v>
      </x:c>
      <x:c r="F1783" s="11" t="n">
        <x:v>26621.420000000002</x:v>
      </x:c>
      <x:c r="G1783" s="13" t="n">
        <x:v>6381</x:v>
      </x:c>
      <x:c r="H1783" s="11" t="n">
        <x:v>11212.78</x:v>
      </x:c>
      <x:c r="I1783" s="11" t="n">
        <x:v>25230.05</x:v>
      </x:c>
    </x:row>
    <x:row r="1784">
      <x:c r="A1784" t="n">
        <x:v>2024</x:v>
      </x:c>
      <x:c r="B1784" t="str">
        <x:v>2024-12</x:v>
      </x:c>
      <x:c r="C1784" t="str">
        <x:v>Sports</x:v>
      </x:c>
      <x:c r="D1784" t="str">
        <x:v>Hospitality</x:v>
      </x:c>
      <x:c r="E1784" t="str">
        <x:v>VIC</x:v>
      </x:c>
      <x:c r="F1784" s="11" t="n">
        <x:v>25071.28</x:v>
      </x:c>
      <x:c r="G1784" s="13" t="n">
        <x:v>6001</x:v>
      </x:c>
      <x:c r="H1784" s="11" t="n">
        <x:v>10576.01</x:v>
      </x:c>
      <x:c r="I1784" s="11" t="n">
        <x:v>24486.44</x:v>
      </x:c>
    </x:row>
    <x:row r="1785">
      <x:c r="A1785" t="n">
        <x:v>2024</x:v>
      </x:c>
      <x:c r="B1785" t="str">
        <x:v>2024-12</x:v>
      </x:c>
      <x:c r="C1785" t="str">
        <x:v>Sports</x:v>
      </x:c>
      <x:c r="D1785" t="str">
        <x:v>Independent retail</x:v>
      </x:c>
      <x:c r="E1785" t="str">
        <x:v>NSW</x:v>
      </x:c>
      <x:c r="F1785" s="11" t="n">
        <x:v>75155.67</x:v>
      </x:c>
      <x:c r="G1785" s="13" t="n">
        <x:v>16158</x:v>
      </x:c>
      <x:c r="H1785" s="11" t="n">
        <x:v>35531.7</x:v>
      </x:c>
      <x:c r="I1785" s="11" t="n">
        <x:v>71247.38</x:v>
      </x:c>
    </x:row>
    <x:row r="1786">
      <x:c r="A1786" t="n">
        <x:v>2024</x:v>
      </x:c>
      <x:c r="B1786" t="str">
        <x:v>2024-12</x:v>
      </x:c>
      <x:c r="C1786" t="str">
        <x:v>Sports</x:v>
      </x:c>
      <x:c r="D1786" t="str">
        <x:v>Independent retail</x:v>
      </x:c>
      <x:c r="E1786" t="str">
        <x:v>QLD</x:v>
      </x:c>
      <x:c r="F1786" s="11" t="n">
        <x:v>72257.88</x:v>
      </x:c>
      <x:c r="G1786" s="13" t="n">
        <x:v>16582</x:v>
      </x:c>
      <x:c r="H1786" s="11" t="n">
        <x:v>32699.16</x:v>
      </x:c>
      <x:c r="I1786" s="11" t="n">
        <x:v>68481.33</x:v>
      </x:c>
    </x:row>
    <x:row r="1787">
      <x:c r="A1787" t="n">
        <x:v>2024</x:v>
      </x:c>
      <x:c r="B1787" t="str">
        <x:v>2024-12</x:v>
      </x:c>
      <x:c r="C1787" t="str">
        <x:v>Sports</x:v>
      </x:c>
      <x:c r="D1787" t="str">
        <x:v>Independent retail</x:v>
      </x:c>
      <x:c r="E1787" t="str">
        <x:v>VIC</x:v>
      </x:c>
      <x:c r="F1787" s="11" t="n">
        <x:v>68842.29</x:v>
      </x:c>
      <x:c r="G1787" s="13" t="n">
        <x:v>15343</x:v>
      </x:c>
      <x:c r="H1787" s="11" t="n">
        <x:v>31727.24</x:v>
      </x:c>
      <x:c r="I1787" s="11" t="n">
        <x:v>66435.5</x:v>
      </x:c>
    </x:row>
    <x:row r="1788">
      <x:c r="A1788" t="n">
        <x:v>2024</x:v>
      </x:c>
      <x:c r="B1788" t="str">
        <x:v>2024-12</x:v>
      </x:c>
      <x:c r="C1788" t="str">
        <x:v>Sports</x:v>
      </x:c>
      <x:c r="D1788" t="str">
        <x:v>Petrol</x:v>
      </x:c>
      <x:c r="E1788" t="str">
        <x:v>NSW</x:v>
      </x:c>
      <x:c r="F1788" s="11" t="n">
        <x:v>81171.37</x:v>
      </x:c>
      <x:c r="G1788" s="13" t="n">
        <x:v>17058</x:v>
      </x:c>
      <x:c r="H1788" s="11" t="n">
        <x:v>40314.21</x:v>
      </x:c>
      <x:c r="I1788" s="11" t="n">
        <x:v>77237.81999999999</x:v>
      </x:c>
    </x:row>
    <x:row r="1789">
      <x:c r="A1789" t="n">
        <x:v>2024</x:v>
      </x:c>
      <x:c r="B1789" t="str">
        <x:v>2024-12</x:v>
      </x:c>
      <x:c r="C1789" t="str">
        <x:v>Sports</x:v>
      </x:c>
      <x:c r="D1789" t="str">
        <x:v>Petrol</x:v>
      </x:c>
      <x:c r="E1789" t="str">
        <x:v>QLD</x:v>
      </x:c>
      <x:c r="F1789" s="11" t="n">
        <x:v>79435.46</x:v>
      </x:c>
      <x:c r="G1789" s="13" t="n">
        <x:v>16486</x:v>
      </x:c>
      <x:c r="H1789" s="11" t="n">
        <x:v>39793.02</x:v>
      </x:c>
      <x:c r="I1789" s="11" t="n">
        <x:v>74275.81</x:v>
      </x:c>
    </x:row>
    <x:row r="1790">
      <x:c r="A1790" t="n">
        <x:v>2024</x:v>
      </x:c>
      <x:c r="B1790" t="str">
        <x:v>2024-12</x:v>
      </x:c>
      <x:c r="C1790" t="str">
        <x:v>Sports</x:v>
      </x:c>
      <x:c r="D1790" t="str">
        <x:v>Petrol</x:v>
      </x:c>
      <x:c r="E1790" t="str">
        <x:v>VIC</x:v>
      </x:c>
      <x:c r="F1790" s="11" t="n">
        <x:v>73586.87</x:v>
      </x:c>
      <x:c r="G1790" s="13" t="n">
        <x:v>15514</x:v>
      </x:c>
      <x:c r="H1790" s="11" t="n">
        <x:v>36445.04</x:v>
      </x:c>
      <x:c r="I1790" s="11" t="n">
        <x:v>72038.23</x:v>
      </x:c>
    </x:row>
    <x:row r="1791">
      <x:c r="A1791" t="n">
        <x:v>2024</x:v>
      </x:c>
      <x:c r="B1791" t="str">
        <x:v>2024-12</x:v>
      </x:c>
      <x:c r="C1791" t="str">
        <x:v>Water</x:v>
      </x:c>
      <x:c r="D1791" t="str">
        <x:v>Convenience</x:v>
      </x:c>
      <x:c r="E1791" t="str">
        <x:v>NSW</x:v>
      </x:c>
      <x:c r="F1791" s="11" t="n">
        <x:v>99678.07</x:v>
      </x:c>
      <x:c r="G1791" s="13" t="n">
        <x:v>31926</x:v>
      </x:c>
      <x:c r="H1791" s="11" t="n">
        <x:v>46771.72</x:v>
      </x:c>
      <x:c r="I1791" s="11" t="n">
        <x:v>100621.45</x:v>
      </x:c>
    </x:row>
    <x:row r="1792">
      <x:c r="A1792" t="n">
        <x:v>2024</x:v>
      </x:c>
      <x:c r="B1792" t="str">
        <x:v>2024-12</x:v>
      </x:c>
      <x:c r="C1792" t="str">
        <x:v>Water</x:v>
      </x:c>
      <x:c r="D1792" t="str">
        <x:v>Convenience</x:v>
      </x:c>
      <x:c r="E1792" t="str">
        <x:v>QLD</x:v>
      </x:c>
      <x:c r="F1792" s="11" t="n">
        <x:v>96589.8</x:v>
      </x:c>
      <x:c r="G1792" s="13" t="n">
        <x:v>30255</x:v>
      </x:c>
      <x:c r="H1792" s="11" t="n">
        <x:v>47052.8</x:v>
      </x:c>
      <x:c r="I1792" s="11" t="n">
        <x:v>96739.42</x:v>
      </x:c>
    </x:row>
    <x:row r="1793">
      <x:c r="A1793" t="n">
        <x:v>2024</x:v>
      </x:c>
      <x:c r="B1793" t="str">
        <x:v>2024-12</x:v>
      </x:c>
      <x:c r="C1793" t="str">
        <x:v>Water</x:v>
      </x:c>
      <x:c r="D1793" t="str">
        <x:v>Convenience</x:v>
      </x:c>
      <x:c r="E1793" t="str">
        <x:v>VIC</x:v>
      </x:c>
      <x:c r="F1793" s="11" t="n">
        <x:v>94186.97</x:v>
      </x:c>
      <x:c r="G1793" s="13" t="n">
        <x:v>30202</x:v>
      </x:c>
      <x:c r="H1793" s="11" t="n">
        <x:v>44661.03</x:v>
      </x:c>
      <x:c r="I1793" s="11" t="n">
        <x:v>93843.78</x:v>
      </x:c>
    </x:row>
    <x:row r="1794">
      <x:c r="A1794" t="n">
        <x:v>2024</x:v>
      </x:c>
      <x:c r="B1794" t="str">
        <x:v>2024-12</x:v>
      </x:c>
      <x:c r="C1794" t="str">
        <x:v>Water</x:v>
      </x:c>
      <x:c r="D1794" t="str">
        <x:v>Grocery</x:v>
      </x:c>
      <x:c r="E1794" t="str">
        <x:v>NSW</x:v>
      </x:c>
      <x:c r="F1794" s="11" t="n">
        <x:v>245261.79</x:v>
      </x:c>
      <x:c r="G1794" s="13" t="n">
        <x:v>86700</x:v>
      </x:c>
      <x:c r="H1794" s="11" t="n">
        <x:v>100054.35</x:v>
      </x:c>
      <x:c r="I1794" s="11" t="n">
        <x:v>250776.29</x:v>
      </x:c>
    </x:row>
    <x:row r="1795">
      <x:c r="A1795" t="n">
        <x:v>2024</x:v>
      </x:c>
      <x:c r="B1795" t="str">
        <x:v>2024-12</x:v>
      </x:c>
      <x:c r="C1795" t="str">
        <x:v>Water</x:v>
      </x:c>
      <x:c r="D1795" t="str">
        <x:v>Grocery</x:v>
      </x:c>
      <x:c r="E1795" t="str">
        <x:v>QLD</x:v>
      </x:c>
      <x:c r="F1795" s="11" t="n">
        <x:v>239561.24</x:v>
      </x:c>
      <x:c r="G1795" s="13" t="n">
        <x:v>87916</x:v>
      </x:c>
      <x:c r="H1795" s="11" t="n">
        <x:v>92623.31999999999</x:v>
      </x:c>
      <x:c r="I1795" s="11" t="n">
        <x:v>241114.76</x:v>
      </x:c>
    </x:row>
    <x:row r="1796">
      <x:c r="A1796" t="n">
        <x:v>2024</x:v>
      </x:c>
      <x:c r="B1796" t="str">
        <x:v>2024-12</x:v>
      </x:c>
      <x:c r="C1796" t="str">
        <x:v>Water</x:v>
      </x:c>
      <x:c r="D1796" t="str">
        <x:v>Grocery</x:v>
      </x:c>
      <x:c r="E1796" t="str">
        <x:v>VIC</x:v>
      </x:c>
      <x:c r="F1796" s="11" t="n">
        <x:v>236577.48</x:v>
      </x:c>
      <x:c r="G1796" s="13" t="n">
        <x:v>85143</x:v>
      </x:c>
      <x:c r="H1796" s="11" t="n">
        <x:v>93658.45</x:v>
      </x:c>
      <x:c r="I1796" s="11" t="n">
        <x:v>233916.53</x:v>
      </x:c>
    </x:row>
    <x:row r="1797">
      <x:c r="A1797" t="n">
        <x:v>2024</x:v>
      </x:c>
      <x:c r="B1797" t="str">
        <x:v>2024-12</x:v>
      </x:c>
      <x:c r="C1797" t="str">
        <x:v>Water</x:v>
      </x:c>
      <x:c r="D1797" t="str">
        <x:v>Hospitality</x:v>
      </x:c>
      <x:c r="E1797" t="str">
        <x:v>NSW</x:v>
      </x:c>
      <x:c r="F1797" s="11" t="n">
        <x:v>31688.09</x:v>
      </x:c>
      <x:c r="G1797" s="13" t="n">
        <x:v>12336</x:v>
      </x:c>
      <x:c r="H1797" s="11" t="n">
        <x:v>10933.23</x:v>
      </x:c>
      <x:c r="I1797" s="11" t="n">
        <x:v>31399.69</x:v>
      </x:c>
    </x:row>
    <x:row r="1798">
      <x:c r="A1798" t="n">
        <x:v>2024</x:v>
      </x:c>
      <x:c r="B1798" t="str">
        <x:v>2024-12</x:v>
      </x:c>
      <x:c r="C1798" t="str">
        <x:v>Water</x:v>
      </x:c>
      <x:c r="D1798" t="str">
        <x:v>Hospitality</x:v>
      </x:c>
      <x:c r="E1798" t="str">
        <x:v>QLD</x:v>
      </x:c>
      <x:c r="F1798" s="11" t="n">
        <x:v>30028.1</x:v>
      </x:c>
      <x:c r="G1798" s="13" t="n">
        <x:v>12063</x:v>
      </x:c>
      <x:c r="H1798" s="11" t="n">
        <x:v>10032.8</x:v>
      </x:c>
      <x:c r="I1798" s="11" t="n">
        <x:v>30193.579999999998</x:v>
      </x:c>
    </x:row>
    <x:row r="1799">
      <x:c r="A1799" t="n">
        <x:v>2024</x:v>
      </x:c>
      <x:c r="B1799" t="str">
        <x:v>2024-12</x:v>
      </x:c>
      <x:c r="C1799" t="str">
        <x:v>Water</x:v>
      </x:c>
      <x:c r="D1799" t="str">
        <x:v>Hospitality</x:v>
      </x:c>
      <x:c r="E1799" t="str">
        <x:v>VIC</x:v>
      </x:c>
      <x:c r="F1799" s="11" t="n">
        <x:v>29962.17</x:v>
      </x:c>
      <x:c r="G1799" s="13" t="n">
        <x:v>12039</x:v>
      </x:c>
      <x:c r="H1799" s="11" t="n">
        <x:v>10030.61</x:v>
      </x:c>
      <x:c r="I1799" s="11" t="n">
        <x:v>29286.22</x:v>
      </x:c>
    </x:row>
    <x:row r="1800">
      <x:c r="A1800" t="n">
        <x:v>2024</x:v>
      </x:c>
      <x:c r="B1800" t="str">
        <x:v>2024-12</x:v>
      </x:c>
      <x:c r="C1800" t="str">
        <x:v>Water</x:v>
      </x:c>
      <x:c r="D1800" t="str">
        <x:v>Independent retail</x:v>
      </x:c>
      <x:c r="E1800" t="str">
        <x:v>NSW</x:v>
      </x:c>
      <x:c r="F1800" s="11" t="n">
        <x:v>84965.89</x:v>
      </x:c>
      <x:c r="G1800" s="13" t="n">
        <x:v>30571</x:v>
      </x:c>
      <x:c r="H1800" s="11" t="n">
        <x:v>34785.409999999996</x:v>
      </x:c>
      <x:c r="I1800" s="11" t="n">
        <x:v>85365.56999999999</x:v>
      </x:c>
    </x:row>
    <x:row r="1801">
      <x:c r="A1801" t="n">
        <x:v>2024</x:v>
      </x:c>
      <x:c r="B1801" t="str">
        <x:v>2024-12</x:v>
      </x:c>
      <x:c r="C1801" t="str">
        <x:v>Water</x:v>
      </x:c>
      <x:c r="D1801" t="str">
        <x:v>Independent retail</x:v>
      </x:c>
      <x:c r="E1801" t="str">
        <x:v>QLD</x:v>
      </x:c>
      <x:c r="F1801" s="11" t="n">
        <x:v>80533.98</x:v>
      </x:c>
      <x:c r="G1801" s="13" t="n">
        <x:v>27863</x:v>
      </x:c>
      <x:c r="H1801" s="11" t="n">
        <x:v>34770.79</x:v>
      </x:c>
      <x:c r="I1801" s="11" t="n">
        <x:v>82081.08</x:v>
      </x:c>
    </x:row>
    <x:row r="1802">
      <x:c r="A1802" t="n">
        <x:v>2024</x:v>
      </x:c>
      <x:c r="B1802" t="str">
        <x:v>2024-12</x:v>
      </x:c>
      <x:c r="C1802" t="str">
        <x:v>Water</x:v>
      </x:c>
      <x:c r="D1802" t="str">
        <x:v>Independent retail</x:v>
      </x:c>
      <x:c r="E1802" t="str">
        <x:v>VIC</x:v>
      </x:c>
      <x:c r="F1802" s="11" t="n">
        <x:v>77425.11</x:v>
      </x:c>
      <x:c r="G1802" s="13" t="n">
        <x:v>27599</x:v>
      </x:c>
      <x:c r="H1802" s="11" t="n">
        <x:v>32540.27</x:v>
      </x:c>
      <x:c r="I1802" s="11" t="n">
        <x:v>79624.17</x:v>
      </x:c>
    </x:row>
    <x:row r="1803">
      <x:c r="A1803" t="n">
        <x:v>2024</x:v>
      </x:c>
      <x:c r="B1803" t="str">
        <x:v>2024-12</x:v>
      </x:c>
      <x:c r="C1803" t="str">
        <x:v>Water</x:v>
      </x:c>
      <x:c r="D1803" t="str">
        <x:v>Petrol</x:v>
      </x:c>
      <x:c r="E1803" t="str">
        <x:v>NSW</x:v>
      </x:c>
      <x:c r="F1803" s="11" t="n">
        <x:v>91509.2</x:v>
      </x:c>
      <x:c r="G1803" s="13" t="n">
        <x:v>29015</x:v>
      </x:c>
      <x:c r="H1803" s="11" t="n">
        <x:v>43651.57</x:v>
      </x:c>
      <x:c r="I1803" s="11" t="n">
        <x:v>91809.91</x:v>
      </x:c>
    </x:row>
    <x:row r="1804">
      <x:c r="A1804" t="n">
        <x:v>2024</x:v>
      </x:c>
      <x:c r="B1804" t="str">
        <x:v>2024-12</x:v>
      </x:c>
      <x:c r="C1804" t="str">
        <x:v>Water</x:v>
      </x:c>
      <x:c r="D1804" t="str">
        <x:v>Petrol</x:v>
      </x:c>
      <x:c r="E1804" t="str">
        <x:v>QLD</x:v>
      </x:c>
      <x:c r="F1804" s="11" t="n">
        <x:v>90031.46</x:v>
      </x:c>
      <x:c r="G1804" s="13" t="n">
        <x:v>28350</x:v>
      </x:c>
      <x:c r="H1804" s="11" t="n">
        <x:v>42410.7</x:v>
      </x:c>
      <x:c r="I1804" s="11" t="n">
        <x:v>88285.7</x:v>
      </x:c>
    </x:row>
    <x:row r="1805">
      <x:c r="A1805" t="n">
        <x:v>2024</x:v>
      </x:c>
      <x:c r="B1805" t="str">
        <x:v>2024-12</x:v>
      </x:c>
      <x:c r="C1805" t="str">
        <x:v>Water</x:v>
      </x:c>
      <x:c r="D1805" t="str">
        <x:v>Petrol</x:v>
      </x:c>
      <x:c r="E1805" t="str">
        <x:v>VIC</x:v>
      </x:c>
      <x:c r="F1805" s="11" t="n">
        <x:v>86181.25</x:v>
      </x:c>
      <x:c r="G1805" s="13" t="n">
        <x:v>26742</x:v>
      </x:c>
      <x:c r="H1805" s="11" t="n">
        <x:v>41391.8</x:v>
      </x:c>
      <x:c r="I1805" s="11" t="n">
        <x:v>85626.39</x:v>
      </x:c>
    </x:row>
  </x:sheetData>
  <x:pageMargins left="0.7" right="0.7" top="0.75" bottom="0.75" header="0.3" footer="0.3"/>
  <x:tableParts count="1">
    <x:tablePart xmlns:r="http://schemas.openxmlformats.org/officeDocument/2006/relationships" r:id="Rb3abfb1f8b2b4e2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SKU scenario inputs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 t="str">
        <x:v>SYNTHETIC. FY2024 source totals from sku_productivity SQL view.</x:v>
      </x:c>
      <x:c r="B3" s="2"/>
      <x:c r="C3" s="2"/>
      <x:c r="D3" s="2"/>
      <x:c r="E3" s="2"/>
      <x:c r="F3" s="2"/>
      <x:c r="G3" s="2"/>
      <x:c r="H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6"/>
      <x:c r="J4" s="6"/>
      <x:c r="K4" s="6"/>
      <x:c r="L4" s="6"/>
      <x:c r="M4" s="6"/>
      <x:c r="N4" s="6"/>
      <x:c r="O4" s="6"/>
    </x:row>
    <x:row r="5" ht="29" customHeight="1">
      <x:c r="A5" s="9" t="str">
        <x:v>ProductKey</x:v>
      </x:c>
      <x:c r="B5" s="9" t="str">
        <x:v>Product</x:v>
      </x:c>
      <x:c r="C5" s="9" t="str">
        <x:v>Revenue</x:v>
      </x:c>
      <x:c r="D5" s="9" t="str">
        <x:v>Units</x:v>
      </x:c>
      <x:c r="E5" s="9" t="str">
        <x:v>GrossProfit</x:v>
      </x:c>
      <x:c r="F5" s="9" t="str">
        <x:v>ActiveStoreDays</x:v>
      </x:c>
      <x:c r="G5" s="9" t="str">
        <x:v>EligibleStoreDays</x:v>
      </x:c>
      <x:c r="H5" s="9" t="str">
        <x:v>Distribution</x:v>
      </x:c>
    </x:row>
    <x:row r="6" ht="23" customHeight="1">
      <x:c r="A6" s="2" t="n">
        <x:v>23</x:v>
      </x:c>
      <x:c r="B6" s="2" t="str">
        <x:v>Dawn Roast 600ml V3</x:v>
      </x:c>
      <x:c r="C6" s="10" t="n">
        <x:v>1517034.57</x:v>
      </x:c>
      <x:c r="D6" s="12" t="n">
        <x:v>241772</x:v>
      </x:c>
      <x:c r="E6" s="10" t="n">
        <x:v>569288.33</x:v>
      </x:c>
      <x:c r="F6" s="12" t="n">
        <x:v>189397</x:v>
      </x:c>
      <x:c r="G6" s="12" t="n">
        <x:v>505080</x:v>
      </x:c>
      <x:c r="H6" s="14" t="n">
        <x:v>0.374984160925002</x:v>
      </x:c>
    </x:row>
    <x:row r="7" ht="23" customHeight="1">
      <x:c r="A7" s="2" t="n">
        <x:v>22</x:v>
      </x:c>
      <x:c r="B7" s="2" t="str">
        <x:v>Urban Bean 500ml V2</x:v>
      </x:c>
      <x:c r="C7" s="10" t="n">
        <x:v>1514746.28</x:v>
      </x:c>
      <x:c r="D7" s="12" t="n">
        <x:v>297086</x:v>
      </x:c>
      <x:c r="E7" s="10" t="n">
        <x:v>543275.06</x:v>
      </x:c>
      <x:c r="F7" s="12" t="n">
        <x:v>217210</x:v>
      </x:c>
      <x:c r="G7" s="12" t="n">
        <x:v>505080</x:v>
      </x:c>
      <x:c r="H7" s="14" t="n">
        <x:v>0.43005068503999366</x:v>
      </x:c>
    </x:row>
    <x:row r="8" ht="23" customHeight="1">
      <x:c r="A8" s="2" t="n">
        <x:v>24</x:v>
      </x:c>
      <x:c r="B8" s="2" t="str">
        <x:v>Urban Bean 1000ml V4</x:v>
      </x:c>
      <x:c r="C8" s="10" t="n">
        <x:v>1235390.03</x:v>
      </x:c>
      <x:c r="D8" s="12" t="n">
        <x:v>110462</x:v>
      </x:c>
      <x:c r="E8" s="10" t="n">
        <x:v>512968.55</x:v>
      </x:c>
      <x:c r="F8" s="12" t="n">
        <x:v>100660</x:v>
      </x:c>
      <x:c r="G8" s="12" t="n">
        <x:v>253920</x:v>
      </x:c>
      <x:c r="H8" s="14" t="n">
        <x:v>0.39642407057340895</x:v>
      </x:c>
    </x:row>
    <x:row r="9" ht="23" customHeight="1">
      <x:c r="A9" s="2" t="n">
        <x:v>21</x:v>
      </x:c>
      <x:c r="B9" s="2" t="str">
        <x:v>Dawn Roast 330ml V1</x:v>
      </x:c>
      <x:c r="C9" s="10" t="n">
        <x:v>1168645.87</x:v>
      </x:c>
      <x:c r="D9" s="12" t="n">
        <x:v>358012</x:v>
      </x:c>
      <x:c r="E9" s="10" t="n">
        <x:v>395339.95</x:v>
      </x:c>
      <x:c r="F9" s="12" t="n">
        <x:v>245098</x:v>
      </x:c>
      <x:c r="G9" s="12" t="n">
        <x:v>505080</x:v>
      </x:c>
      <x:c r="H9" s="14" t="n">
        <x:v>0.4852657004830918</x:v>
      </x:c>
    </x:row>
    <x:row r="10" ht="23" customHeight="1">
      <x:c r="A10" s="2" t="n">
        <x:v>10</x:v>
      </x:c>
      <x:c r="B10" s="2" t="str">
        <x:v>Night Current 1000ml V4</x:v>
      </x:c>
      <x:c r="C10" s="10" t="n">
        <x:v>7166921.63</x:v>
      </x:c>
      <x:c r="D10" s="12" t="n">
        <x:v>743391</x:v>
      </x:c>
      <x:c r="E10" s="10" t="n">
        <x:v>4029811.61</x:v>
      </x:c>
      <x:c r="F10" s="12" t="n">
        <x:v>234760</x:v>
      </x:c>
      <x:c r="G10" s="12" t="n">
        <x:v>505080</x:v>
      </x:c>
      <x:c r="H10" s="14" t="n">
        <x:v>0.4647976558169003</x:v>
      </x:c>
    </x:row>
    <x:row r="11" ht="23" customHeight="1">
      <x:c r="A11" s="2" t="n">
        <x:v>9</x:v>
      </x:c>
      <x:c r="B11" s="2" t="str">
        <x:v>Volt Avenue 600ml V3</x:v>
      </x:c>
      <x:c r="C11" s="10" t="n">
        <x:v>5019496.87</x:v>
      </x:c>
      <x:c r="D11" s="12" t="n">
        <x:v>887388</x:v>
      </x:c>
      <x:c r="E11" s="10" t="n">
        <x:v>2774405.23</x:v>
      </x:c>
      <x:c r="F11" s="12" t="n">
        <x:v>262956</x:v>
      </x:c>
      <x:c r="G11" s="12" t="n">
        <x:v>505080</x:v>
      </x:c>
      <x:c r="H11" s="14" t="n">
        <x:v>0.5206224756474221</x:v>
      </x:c>
    </x:row>
    <x:row r="12" ht="23" customHeight="1">
      <x:c r="A12" s="2" t="n">
        <x:v>8</x:v>
      </x:c>
      <x:c r="B12" s="2" t="str">
        <x:v>Night Current 500ml V2</x:v>
      </x:c>
      <x:c r="C12" s="10" t="n">
        <x:v>4790126.3</x:v>
      </x:c>
      <x:c r="D12" s="12" t="n">
        <x:v>1040889</x:v>
      </x:c>
      <x:c r="E12" s="10" t="n">
        <x:v>2593850.51</x:v>
      </x:c>
      <x:c r="F12" s="12" t="n">
        <x:v>290556</x:v>
      </x:c>
      <x:c r="G12" s="12" t="n">
        <x:v>505080</x:v>
      </x:c>
      <x:c r="H12" s="14" t="n">
        <x:v>0.5752672843905916</x:v>
      </x:c>
    </x:row>
    <x:row r="13" ht="23" customHeight="1">
      <x:c r="A13" s="2" t="n">
        <x:v>7</x:v>
      </x:c>
      <x:c r="B13" s="2" t="str">
        <x:v>Volt Avenue 330ml V1</x:v>
      </x:c>
      <x:c r="C13" s="10" t="n">
        <x:v>3633374.77</x:v>
      </x:c>
      <x:c r="D13" s="12" t="n">
        <x:v>1297815</x:v>
      </x:c>
      <x:c r="E13" s="10" t="n">
        <x:v>1829411.92</x:v>
      </x:c>
      <x:c r="F13" s="12" t="n">
        <x:v>318402</x:v>
      </x:c>
      <x:c r="G13" s="12" t="n">
        <x:v>505080</x:v>
      </x:c>
      <x:c r="H13" s="14" t="n">
        <x:v>0.6303991446899501</x:v>
      </x:c>
    </x:row>
    <x:row r="14" ht="23" customHeight="1">
      <x:c r="A14" s="2" t="n">
        <x:v>12</x:v>
      </x:c>
      <x:c r="B14" s="2" t="str">
        <x:v>Night Current 500ml V6</x:v>
      </x:c>
      <x:c r="C14" s="10" t="n">
        <x:v>2658944.64</x:v>
      </x:c>
      <x:c r="D14" s="12" t="n">
        <x:v>499956</x:v>
      </x:c>
      <x:c r="E14" s="10" t="n">
        <x:v>1604037.48</x:v>
      </x:c>
      <x:c r="F14" s="12" t="n">
        <x:v>212400</x:v>
      </x:c>
      <x:c r="G14" s="12" t="n">
        <x:v>422280</x:v>
      </x:c>
      <x:c r="H14" s="14" t="n">
        <x:v>0.5029838022165388</x:v>
      </x:c>
    </x:row>
    <x:row r="15" ht="23" customHeight="1">
      <x:c r="A15" s="2" t="n">
        <x:v>11</x:v>
      </x:c>
      <x:c r="B15" s="2" t="str">
        <x:v>Volt Avenue 330ml V5</x:v>
      </x:c>
      <x:c r="C15" s="10" t="n">
        <x:v>1968372.94</x:v>
      </x:c>
      <x:c r="D15" s="12" t="n">
        <x:v>606509</x:v>
      </x:c>
      <x:c r="E15" s="10" t="n">
        <x:v>1125325.43</x:v>
      </x:c>
      <x:c r="F15" s="12" t="n">
        <x:v>207011</x:v>
      </x:c>
      <x:c r="G15" s="12" t="n">
        <x:v>505080</x:v>
      </x:c>
      <x:c r="H15" s="14" t="n">
        <x:v>0.40985784430189276</x:v>
      </x:c>
    </x:row>
    <x:row r="16" ht="23" customHeight="1">
      <x:c r="A16" s="2" t="n">
        <x:v>4</x:v>
      </x:c>
      <x:c r="B16" s="2" t="str">
        <x:v>Citrus Lane 1000ml V4</x:v>
      </x:c>
      <x:c r="C16" s="10" t="n">
        <x:v>6694560.35</x:v>
      </x:c>
      <x:c r="D16" s="12" t="n">
        <x:v>908884</x:v>
      </x:c>
      <x:c r="E16" s="10" t="n">
        <x:v>3431666.79</x:v>
      </x:c>
      <x:c r="F16" s="12" t="n">
        <x:v>252382</x:v>
      </x:c>
      <x:c r="G16" s="12" t="n">
        <x:v>505080</x:v>
      </x:c>
      <x:c r="H16" s="14" t="n">
        <x:v>0.4996871782687891</x:v>
      </x:c>
    </x:row>
    <x:row r="17" ht="23" customHeight="1">
      <x:c r="A17" s="2" t="n">
        <x:v>3</x:v>
      </x:c>
      <x:c r="B17" s="2" t="str">
        <x:v>Arc Cola 600ml V3</x:v>
      </x:c>
      <x:c r="C17" s="10" t="n">
        <x:v>4714357.59</x:v>
      </x:c>
      <x:c r="D17" s="12" t="n">
        <x:v>1146639</x:v>
      </x:c>
      <x:c r="E17" s="10" t="n">
        <x:v>2249083.74</x:v>
      </x:c>
      <x:c r="F17" s="12" t="n">
        <x:v>280236</x:v>
      </x:c>
      <x:c r="G17" s="12" t="n">
        <x:v>505080</x:v>
      </x:c>
      <x:c r="H17" s="14" t="n">
        <x:v>0.5548348776431457</x:v>
      </x:c>
    </x:row>
    <x:row r="18" ht="23" customHeight="1">
      <x:c r="A18" s="2" t="n">
        <x:v>2</x:v>
      </x:c>
      <x:c r="B18" s="2" t="str">
        <x:v>Citrus Lane 500ml V2</x:v>
      </x:c>
      <x:c r="C18" s="10" t="n">
        <x:v>4468237.12</x:v>
      </x:c>
      <x:c r="D18" s="12" t="n">
        <x:v>1339159</x:v>
      </x:c>
      <x:c r="E18" s="10" t="n">
        <x:v>2071142.51</x:v>
      </x:c>
      <x:c r="F18" s="12" t="n">
        <x:v>307623</x:v>
      </x:c>
      <x:c r="G18" s="12" t="n">
        <x:v>505080</x:v>
      </x:c>
      <x:c r="H18" s="14" t="n">
        <x:v>0.6090579710144928</x:v>
      </x:c>
    </x:row>
    <x:row r="19" ht="23" customHeight="1">
      <x:c r="A19" s="2" t="n">
        <x:v>6</x:v>
      </x:c>
      <x:c r="B19" s="2" t="str">
        <x:v>Citrus Lane 500ml V6</x:v>
      </x:c>
      <x:c r="C19" s="10" t="n">
        <x:v>4259751.56</x:v>
      </x:c>
      <x:c r="D19" s="12" t="n">
        <x:v>1104474</x:v>
      </x:c>
      <x:c r="E19" s="10" t="n">
        <x:v>2282743.1</x:v>
      </x:c>
      <x:c r="F19" s="12" t="n">
        <x:v>363537</x:v>
      </x:c>
      <x:c r="G19" s="12" t="n">
        <x:v>505080</x:v>
      </x:c>
      <x:c r="H19" s="14" t="n">
        <x:v>0.7197612259444048</x:v>
      </x:c>
    </x:row>
    <x:row r="20" ht="23" customHeight="1">
      <x:c r="A20" s="2" t="n">
        <x:v>1</x:v>
      </x:c>
      <x:c r="B20" s="2" t="str">
        <x:v>Arc Cola 330ml V1</x:v>
      </x:c>
      <x:c r="C20" s="10" t="n">
        <x:v>3342465.11</x:v>
      </x:c>
      <x:c r="D20" s="12" t="n">
        <x:v>1554740</x:v>
      </x:c>
      <x:c r="E20" s="10" t="n">
        <x:v>1507871.91</x:v>
      </x:c>
      <x:c r="F20" s="12" t="n">
        <x:v>336100</x:v>
      </x:c>
      <x:c r="G20" s="12" t="n">
        <x:v>505080</x:v>
      </x:c>
      <x:c r="H20" s="14" t="n">
        <x:v>0.6654391383543201</x:v>
      </x:c>
    </x:row>
    <x:row r="21" ht="23" customHeight="1">
      <x:c r="A21" s="2" t="n">
        <x:v>5</x:v>
      </x:c>
      <x:c r="B21" s="2" t="str">
        <x:v>Arc Cola 330ml V5</x:v>
      </x:c>
      <x:c r="C21" s="10" t="n">
        <x:v>1861996.78</x:v>
      </x:c>
      <x:c r="D21" s="12" t="n">
        <x:v>748143</x:v>
      </x:c>
      <x:c r="E21" s="10" t="n">
        <x:v>979188.04</x:v>
      </x:c>
      <x:c r="F21" s="12" t="n">
        <x:v>224580</x:v>
      </x:c>
      <x:c r="G21" s="12" t="n">
        <x:v>505080</x:v>
      </x:c>
      <x:c r="H21" s="14" t="n">
        <x:v>0.4446424328819197</x:v>
      </x:c>
    </x:row>
    <x:row r="22" ht="23" customHeight="1">
      <x:c r="A22" s="2" t="n">
        <x:v>20</x:v>
      </x:c>
      <x:c r="B22" s="2" t="str">
        <x:v>Flow Sprint 1000ml V4</x:v>
      </x:c>
      <x:c r="C22" s="10" t="n">
        <x:v>5708610.95</x:v>
      </x:c>
      <x:c r="D22" s="12" t="n">
        <x:v>705660</x:v>
      </x:c>
      <x:c r="E22" s="10" t="n">
        <x:v>2878914.35</x:v>
      </x:c>
      <x:c r="F22" s="12" t="n">
        <x:v>308250</x:v>
      </x:c>
      <x:c r="G22" s="12" t="n">
        <x:v>505080</x:v>
      </x:c>
      <x:c r="H22" s="14" t="n">
        <x:v>0.6102993585174625</x:v>
      </x:c>
    </x:row>
    <x:row r="23" ht="23" customHeight="1">
      <x:c r="A23" s="2" t="n">
        <x:v>19</x:v>
      </x:c>
      <x:c r="B23" s="2" t="str">
        <x:v>Stride Works 600ml V3</x:v>
      </x:c>
      <x:c r="C23" s="10" t="n">
        <x:v>3939669.63</x:v>
      </x:c>
      <x:c r="D23" s="12" t="n">
        <x:v>877000</x:v>
      </x:c>
      <x:c r="E23" s="10" t="n">
        <x:v>1826099.63</x:v>
      </x:c>
      <x:c r="F23" s="12" t="n">
        <x:v>336086</x:v>
      </x:c>
      <x:c r="G23" s="12" t="n">
        <x:v>505080</x:v>
      </x:c>
      <x:c r="H23" s="14" t="n">
        <x:v>0.6654114199730736</x:v>
      </x:c>
    </x:row>
    <x:row r="24" ht="23" customHeight="1">
      <x:c r="A24" s="2" t="n">
        <x:v>18</x:v>
      </x:c>
      <x:c r="B24" s="2" t="str">
        <x:v>Flow Sprint 500ml V2</x:v>
      </x:c>
      <x:c r="C24" s="10" t="n">
        <x:v>3692514.4</x:v>
      </x:c>
      <x:c r="D24" s="12" t="n">
        <x:v>1009291</x:v>
      </x:c>
      <x:c r="E24" s="10" t="n">
        <x:v>1673932.4</x:v>
      </x:c>
      <x:c r="F24" s="12" t="n">
        <x:v>363601</x:v>
      </x:c>
      <x:c r="G24" s="12" t="n">
        <x:v>505080</x:v>
      </x:c>
      <x:c r="H24" s="14" t="n">
        <x:v>0.719887938544389</x:v>
      </x:c>
    </x:row>
    <x:row r="25" ht="23" customHeight="1">
      <x:c r="A25" s="2" t="n">
        <x:v>17</x:v>
      </x:c>
      <x:c r="B25" s="2" t="str">
        <x:v>Stride Works 330ml V1</x:v>
      </x:c>
      <x:c r="C25" s="10" t="n">
        <x:v>1551112.15</x:v>
      </x:c>
      <x:c r="D25" s="12" t="n">
        <x:v>660636</x:v>
      </x:c>
      <x:c r="E25" s="10" t="n">
        <x:v>679072.63</x:v>
      </x:c>
      <x:c r="F25" s="12" t="n">
        <x:v>224825</x:v>
      </x:c>
      <x:c r="G25" s="12" t="n">
        <x:v>505080</x:v>
      </x:c>
      <x:c r="H25" s="14" t="n">
        <x:v>0.44512750455373407</x:v>
      </x:c>
    </x:row>
    <x:row r="26" ht="23" customHeight="1">
      <x:c r="A26" s="2" t="n">
        <x:v>16</x:v>
      </x:c>
      <x:c r="B26" s="2" t="str">
        <x:v>Still Harbour 1000ml V4</x:v>
      </x:c>
      <x:c r="C26" s="10" t="n">
        <x:v>5871412.34</x:v>
      </x:c>
      <x:c r="D26" s="12" t="n">
        <x:v>1074210</x:v>
      </x:c>
      <x:c r="E26" s="10" t="n">
        <x:v>2702492.84</x:v>
      </x:c>
      <x:c r="F26" s="12" t="n">
        <x:v>252334</x:v>
      </x:c>
      <x:c r="G26" s="12" t="n">
        <x:v>505080</x:v>
      </x:c>
      <x:c r="H26" s="14" t="n">
        <x:v>0.49959214381880096</x:v>
      </x:c>
    </x:row>
    <x:row r="27" ht="23" customHeight="1">
      <x:c r="A27" s="2" t="n">
        <x:v>15</x:v>
      </x:c>
      <x:c r="B27" s="2" t="str">
        <x:v>Clear Ridge 600ml V3</x:v>
      </x:c>
      <x:c r="C27" s="10" t="n">
        <x:v>4094147.13</x:v>
      </x:c>
      <x:c r="D27" s="12" t="n">
        <x:v>1341084</x:v>
      </x:c>
      <x:c r="E27" s="10" t="n">
        <x:v>1720428.45</x:v>
      </x:c>
      <x:c r="F27" s="12" t="n">
        <x:v>280384</x:v>
      </x:c>
      <x:c r="G27" s="12" t="n">
        <x:v>505080</x:v>
      </x:c>
      <x:c r="H27" s="14" t="n">
        <x:v>0.555127900530609</x:v>
      </x:c>
    </x:row>
    <x:row r="28" ht="23" customHeight="1">
      <x:c r="A28" s="2" t="n">
        <x:v>14</x:v>
      </x:c>
      <x:c r="B28" s="2" t="str">
        <x:v>Still Harbour 500ml V2</x:v>
      </x:c>
      <x:c r="C28" s="10" t="n">
        <x:v>3922483.61</x:v>
      </x:c>
      <x:c r="D28" s="12" t="n">
        <x:v>1580771</x:v>
      </x:c>
      <x:c r="E28" s="10" t="n">
        <x:v>1582942.53</x:v>
      </x:c>
      <x:c r="F28" s="12" t="n">
        <x:v>308356</x:v>
      </x:c>
      <x:c r="G28" s="12" t="n">
        <x:v>505080</x:v>
      </x:c>
      <x:c r="H28" s="14" t="n">
        <x:v>0.6105092262611863</x:v>
      </x:c>
    </x:row>
    <x:row r="29" ht="23" customHeight="1">
      <x:c r="A29" s="2" t="n">
        <x:v>13</x:v>
      </x:c>
      <x:c r="B29" s="2" t="str">
        <x:v>Clear Ridge 330ml V1</x:v>
      </x:c>
      <x:c r="C29" s="10" t="n">
        <x:v>2925006.85</x:v>
      </x:c>
      <x:c r="D29" s="12" t="n">
        <x:v>1833783</x:v>
      </x:c>
      <x:c r="E29" s="10" t="n">
        <x:v>1146237.34</x:v>
      </x:c>
      <x:c r="F29" s="12" t="n">
        <x:v>335796</x:v>
      </x:c>
      <x:c r="G29" s="12" t="n">
        <x:v>505080</x:v>
      </x:c>
      <x:c r="H29" s="14" t="n">
        <x:v>0.6648372535043954</x:v>
      </x:c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</x:sheetData>
  <x:pageMargins left="0.7" right="0.7" top="0.75" bottom="0.75" header="0.3" footer="0.3"/>
  <x:tableParts count="1">
    <x:tablePart xmlns:r="http://schemas.openxmlformats.org/officeDocument/2006/relationships" r:id="R088ce787013240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Launch review inputs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 t="str">
        <x:v>SYNTHETIC. Cohorts require complete 28-day follow-up; sales from launch to 31 Dec 2024.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6"/>
      <x:c r="M4" s="6"/>
      <x:c r="N4" s="6"/>
      <x:c r="O4" s="6"/>
    </x:row>
    <x:row r="5" ht="29" customHeight="1">
      <x:c r="A5" s="9" t="str">
        <x:v>ProductKey</x:v>
      </x:c>
      <x:c r="B5" s="9" t="str">
        <x:v>Product</x:v>
      </x:c>
      <x:c r="C5" s="9" t="str">
        <x:v>Revenue</x:v>
      </x:c>
      <x:c r="D5" s="9" t="str">
        <x:v>Units</x:v>
      </x:c>
      <x:c r="E5" s="9" t="str">
        <x:v>GrossProfit</x:v>
      </x:c>
      <x:c r="F5" s="9" t="str">
        <x:v>Velocity</x:v>
      </x:c>
      <x:c r="G5" s="9" t="str">
        <x:v>Distribution</x:v>
      </x:c>
      <x:c r="H5" s="9" t="str">
        <x:v>TargetAttainment</x:v>
      </x:c>
      <x:c r="I5" s="9" t="str">
        <x:v>Trials</x:v>
      </x:c>
      <x:c r="J5" s="9" t="str">
        <x:v>Repeats</x:v>
      </x:c>
      <x:c r="K5" s="2"/>
    </x:row>
    <x:row r="6" ht="23" customHeight="1">
      <x:c r="A6" s="2" t="n">
        <x:v>12</x:v>
      </x:c>
      <x:c r="B6" s="2" t="str">
        <x:v>Night Current 500ml V6</x:v>
      </x:c>
      <x:c r="C6" s="10" t="n">
        <x:v>2658944.64</x:v>
      </x:c>
      <x:c r="D6" s="12" t="n">
        <x:v>499956</x:v>
      </x:c>
      <x:c r="E6" s="10" t="n">
        <x:v>1604037.48</x:v>
      </x:c>
      <x:c r="F6" s="15" t="n">
        <x:v>2.3538418079096046</x:v>
      </x:c>
      <x:c r="G6" s="14" t="n">
        <x:v>0.5029838022165388</x:v>
      </x:c>
      <x:c r="H6" s="14" t="n">
        <x:v>1.0487887019273114</x:v>
      </x:c>
      <x:c r="I6" s="12" t="n">
        <x:v>6377</x:v>
      </x:c>
      <x:c r="J6" s="12" t="n">
        <x:v>2503</x:v>
      </x:c>
      <x:c r="K6" s="2"/>
    </x:row>
    <x:row r="7" ht="23" customHeight="1">
      <x:c r="A7" s="2" t="n">
        <x:v>24</x:v>
      </x:c>
      <x:c r="B7" s="2" t="str">
        <x:v>Urban Bean 1000ml V4</x:v>
      </x:c>
      <x:c r="C7" s="10" t="n">
        <x:v>1235390.03</x:v>
      </x:c>
      <x:c r="D7" s="12" t="n">
        <x:v>110462</x:v>
      </x:c>
      <x:c r="E7" s="10" t="n">
        <x:v>512968.55</x:v>
      </x:c>
      <x:c r="F7" s="15" t="n">
        <x:v>1.097377309755613</x:v>
      </x:c>
      <x:c r="G7" s="14" t="n">
        <x:v>0.39642407057340895</x:v>
      </x:c>
      <x:c r="H7" s="14" t="n">
        <x:v>0.7430156178764817</x:v>
      </x:c>
      <x:c r="I7" s="12" t="n">
        <x:v>1223</x:v>
      </x:c>
      <x:c r="J7" s="12" t="n">
        <x:v>257</x:v>
      </x:c>
      <x:c r="K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</x:sheetData>
  <x:pageMargins left="0.7" right="0.7" top="0.75" bottom="0.75" header="0.3" footer="0.3"/>
  <x:tableParts count="1">
    <x:tablePart xmlns:r="http://schemas.openxmlformats.org/officeDocument/2006/relationships" r:id="Reb61e9027dae42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8" hidden="0" customWidth="1"/>
    <x:col min="3" max="3" width="3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Methodology and reconciliation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 t="str">
        <x:v>ALL COMMERCIAL DATA SYNTHETIC. No private corporate data.</x:v>
      </x:c>
      <x:c r="B3" s="2"/>
      <x:c r="C3" s="2"/>
      <x:c r="D3" s="2"/>
      <x:c r="E3" s="2"/>
      <x:c r="F3" s="2"/>
      <x:c r="G3" s="2"/>
      <x:c r="H3" s="2"/>
    </x:row>
    <x:row r="4" ht="23" customHeight="1">
      <x:c r="A4" s="5"/>
      <x:c r="B4" s="5"/>
      <x:c r="C4" s="5"/>
      <x:c r="D4" s="5"/>
      <x:c r="E4" s="5"/>
      <x:c r="F4" s="5"/>
      <x:c r="G4" s="5"/>
      <x:c r="H4" s="5"/>
      <x:c r="I4" s="6"/>
      <x:c r="J4" s="6"/>
      <x:c r="K4" s="6"/>
      <x:c r="L4" s="6"/>
      <x:c r="M4" s="6"/>
      <x:c r="N4" s="6"/>
      <x:c r="O4" s="6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9" customHeight="1">
      <x:c r="A6" s="9" t="str">
        <x:v>Input</x:v>
      </x:c>
      <x:c r="B6" s="9" t="str">
        <x:v>Source</x:v>
      </x:c>
      <x:c r="C6" s="9" t="str">
        <x:v>Scope</x:v>
      </x:c>
      <x:c r="D6" s="9" t="str">
        <x:v>Refresh</x:v>
      </x:c>
      <x:c r="E6" s="2"/>
      <x:c r="F6" s="2"/>
      <x:c r="G6" s="2"/>
      <x:c r="H6" s="2"/>
    </x:row>
    <x:row r="7" ht="23" customHeight="1">
      <x:c r="A7" s="2" t="str">
        <x:v>Monthly Inputs</x:v>
      </x:c>
      <x:c r="B7" s="2" t="str">
        <x:v>data/processed/analytics/management_monthly.csv</x:v>
      </x:c>
      <x:c r="C7" s="2" t="str">
        <x:v>2023–2024 AUD ex GST</x:v>
      </x:c>
      <x:c r="D7" s="2" t="str">
        <x:v>Run reproducible pipeline</x:v>
      </x:c>
      <x:c r="E7" s="2"/>
      <x:c r="F7" s="2"/>
      <x:c r="G7" s="2"/>
      <x:c r="H7" s="2"/>
    </x:row>
    <x:row r="8" ht="23" customHeight="1">
      <x:c r="A8" s="2" t="str">
        <x:v>SKU Inputs</x:v>
      </x:c>
      <x:c r="B8" s="2" t="str">
        <x:v>sku_productivity SQL view</x:v>
      </x:c>
      <x:c r="C8" s="2" t="str">
        <x:v>FY2024 fixed snapshot</x:v>
      </x:c>
      <x:c r="D8" s="2" t="str">
        <x:v>Rebuild workbook</x:v>
      </x:c>
      <x:c r="E8" s="2"/>
      <x:c r="F8" s="2"/>
      <x:c r="G8" s="2"/>
      <x:c r="H8" s="2"/>
    </x:row>
    <x:row r="9" ht="23" customHeight="1">
      <x:c r="A9" s="2" t="str">
        <x:v>Launch Inputs</x:v>
      </x:c>
      <x:c r="B9" s="2" t="str">
        <x:v>innovation_review SQL view</x:v>
      </x:c>
      <x:c r="C9" s="2" t="str">
        <x:v>FY2024, complete repeat cohorts</x:v>
      </x:c>
      <x:c r="D9" s="2" t="str">
        <x:v>Rebuild workbook</x:v>
      </x:c>
      <x:c r="E9" s="2"/>
      <x:c r="F9" s="2"/>
      <x:c r="G9" s="2"/>
      <x:c r="H9" s="2"/>
    </x:row>
    <x:row r="10" ht="23" customHeight="1">
      <x:c r="A10" s="2" t="str">
        <x:v>Scenario</x:v>
      </x:c>
      <x:c r="B10" s="2" t="str">
        <x:v>User-editable assumptions</x:v>
      </x:c>
      <x:c r="C10" s="2" t="str">
        <x:v>Hypothesis only</x:v>
      </x:c>
      <x:c r="D10" s="2" t="str">
        <x:v>Live formulas</x:v>
      </x:c>
      <x:c r="E10" s="2"/>
      <x:c r="F10" s="2"/>
      <x:c r="G10" s="2"/>
      <x:c r="H10" s="2"/>
    </x:row>
    <x:row r="11" ht="23" customHeight="1">
      <x:c r="A11" s="2" t="str">
        <x:v>Public CCEP facts</x:v>
      </x:c>
      <x:c r="B11" s="2" t="str">
        <x:v>docs/sources.md</x:v>
      </x:c>
      <x:c r="C11" s="2" t="str">
        <x:v>Excluded from simulated pack</x:v>
      </x:c>
      <x:c r="D11" s="2" t="str">
        <x:v>Separate report context</x:v>
      </x:c>
      <x:c r="E11" s="2"/>
      <x:c r="F11" s="2"/>
      <x:c r="G11" s="2"/>
      <x:c r="H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9" customHeight="1">
      <x:c r="A14" s="9" t="str">
        <x:v>Terminal reconciliation</x:v>
      </x:c>
      <x:c r="B14" s="9" t="str">
        <x:v>Residual</x:v>
      </x:c>
      <x:c r="C14" s="2"/>
      <x:c r="D14" s="2"/>
      <x:c r="E14" s="2"/>
      <x:c r="F14" s="2"/>
      <x:c r="G14" s="2"/>
      <x:c r="H14" s="2"/>
    </x:row>
    <x:row r="15" ht="23" customHeight="1">
      <x:c r="A15" s="2" t="str">
        <x:v>Category revenue vs executive</x:v>
      </x:c>
      <x:c r="B15" s="21" t="n">
        <x:f>ROUND(SUM('Category Performance'!B8:B12)-'Executive Summary'!B8,2)</x:f>
        <x:v>0</x:v>
      </x:c>
      <x:c r="C15" s="2"/>
      <x:c r="D15" s="2"/>
      <x:c r="E15" s="2"/>
      <x:c r="F15" s="2"/>
      <x:c r="G15" s="2"/>
      <x:c r="H15" s="2"/>
    </x:row>
    <x:row r="16" ht="23" customHeight="1">
      <x:c r="A16" s="2" t="str">
        <x:v>Channel revenue vs executive</x:v>
      </x:c>
      <x:c r="B16" s="21" t="n">
        <x:f>ROUND(SUM('Customer Channel'!D8:D22)-'Executive Summary'!B8,2)</x:f>
        <x:v>0</x:v>
      </x:c>
      <x:c r="C16" s="2"/>
      <x:c r="D16" s="2"/>
      <x:c r="E16" s="2"/>
      <x:c r="F16" s="2"/>
      <x:c r="G16" s="2"/>
      <x:c r="H16" s="2"/>
    </x:row>
    <x:row r="17" ht="23" customHeight="1">
      <x:c r="A17" s="2" t="str">
        <x:v>Monthly detail vs executive</x:v>
      </x:c>
      <x:c r="B17" s="21" t="n">
        <x:f>ROUND(SUM('Executive Summary'!B17:B28)-'Executive Summary'!B8,2)</x:f>
        <x:v>0</x:v>
      </x:c>
      <x:c r="C17" s="2"/>
      <x:c r="D17" s="2"/>
      <x:c r="E17" s="2"/>
      <x:c r="F17" s="2"/>
      <x:c r="G17" s="2"/>
      <x:c r="H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</x:sheetData>
  <x:conditionalFormatting sqref="B15:B17">
    <x:cfRule type="cellIs" dxfId="4" priority="1" operator="notEqual">
      <x:formula>0</x:formula>
    </x:cfRule>
  </x:conditionalFormatting>
  <x:pageMargins left="0.7" right="0.7" top="0.75" bottom="0.75" header="0.3" footer="0.3"/>
</x:worksheet>
</file>